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20" yWindow="-120" windowWidth="20730" windowHeight="11160"/>
  </bookViews>
  <sheets>
    <sheet name="Início" sheetId="1" r:id="rId1"/>
    <sheet name="Clientes" sheetId="2" r:id="rId2"/>
    <sheet name="Formulário Clientes" sheetId="3" r:id="rId3"/>
    <sheet name="Agenda Compromissos" sheetId="4" r:id="rId4"/>
    <sheet name="Estoque" sheetId="6" r:id="rId5"/>
    <sheet name="Materiais" sheetId="7" r:id="rId6"/>
  </sheets>
  <definedNames>
    <definedName name="DadosExternos_1" localSheetId="3" hidden="1">'Agenda Compromissos'!$O$12:$Q$13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" i="7" l="1"/>
  <c r="T11" i="7"/>
  <c r="E17" i="7"/>
  <c r="K11" i="4" l="1"/>
  <c r="B9" i="4" l="1"/>
  <c r="C9" i="4" s="1"/>
  <c r="K12" i="4"/>
  <c r="D9" i="4" l="1"/>
  <c r="E9" i="4" s="1"/>
  <c r="F9" i="4" s="1"/>
  <c r="G9" i="4" s="1"/>
  <c r="H9" i="4" s="1"/>
  <c r="B10" i="4" s="1"/>
  <c r="C10" i="4" s="1"/>
  <c r="D10" i="4" s="1"/>
  <c r="E10" i="4" s="1"/>
  <c r="F10" i="4" s="1"/>
  <c r="G10" i="4" s="1"/>
  <c r="H10" i="4" s="1"/>
  <c r="B11" i="4" s="1"/>
  <c r="C11" i="4" s="1"/>
  <c r="D11" i="4" s="1"/>
  <c r="E11" i="4" s="1"/>
  <c r="F11" i="4" s="1"/>
  <c r="G11" i="4" s="1"/>
  <c r="H11" i="4" l="1"/>
  <c r="B12" i="4" s="1"/>
  <c r="C12" i="4" s="1"/>
  <c r="D12" i="4" s="1"/>
  <c r="E12" i="4" s="1"/>
  <c r="F12" i="4" s="1"/>
  <c r="G12" i="4" s="1"/>
  <c r="H12" i="4" s="1"/>
  <c r="B13" i="4" s="1"/>
  <c r="C13" i="4" s="1"/>
  <c r="D13" i="4" s="1"/>
  <c r="E13" i="4" s="1"/>
  <c r="F13" i="4" s="1"/>
  <c r="G13" i="4" s="1"/>
  <c r="H13" i="4" s="1"/>
  <c r="B14" i="4" s="1"/>
  <c r="C14" i="4" s="1"/>
  <c r="D14" i="4" s="1"/>
  <c r="E14" i="4" s="1"/>
  <c r="F14" i="4" s="1"/>
  <c r="G14" i="4" s="1"/>
  <c r="H14" i="4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" description="Conexão com a consulta 'Dia' na pasta de trabalho." type="5" refreshedVersion="0" background="1">
    <dbPr connection="Provider=Microsoft.Mashup.OleDb.1;Data Source=$Workbook$;Location=Dia;Extended Properties=&quot;&quot;" command="SELECT * FROM [Dia]"/>
  </connection>
  <connection id="3" keepAlive="1" name="Consulta - Dia (2)" description="Conexão com a consulta 'Dia (2)' na pasta de trabalho." type="5" refreshedVersion="0" background="1">
    <dbPr connection="Provider=Microsoft.Mashup.OleDb.1;Data Source=$Workbook$;Location=&quot;Dia (2)&quot;;Extended Properties=&quot;&quot;" command="SELECT * FROM [Dia (2)]"/>
  </connection>
  <connection id="4" keepAlive="1" name="Consulta - ok" description="Conexão com a consulta 'ok' na pasta de trabalho." type="5" refreshedVersion="6" background="1" saveData="1">
    <dbPr connection="Provider=Microsoft.Mashup.OleDb.1;Data Source=$Workbook$;Location=ok;Extended Properties=&quot;&quot;" command="SELECT * FROM [ok]"/>
  </connection>
</connections>
</file>

<file path=xl/sharedStrings.xml><?xml version="1.0" encoding="utf-8"?>
<sst xmlns="http://schemas.openxmlformats.org/spreadsheetml/2006/main" count="87" uniqueCount="81">
  <si>
    <t>Nome:</t>
  </si>
  <si>
    <t>Endereço:</t>
  </si>
  <si>
    <t>Telefone:</t>
  </si>
  <si>
    <t>Bairro:</t>
  </si>
  <si>
    <t>NOME</t>
  </si>
  <si>
    <t>ENDEREÇO</t>
  </si>
  <si>
    <t>TELEFONE</t>
  </si>
  <si>
    <t>BAIRRO</t>
  </si>
  <si>
    <t>11 984504272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</si>
  <si>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</si>
  <si>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Isabella do Nascimento Silva.</t>
  </si>
  <si>
    <t>Rua Jornal Do Comércio,90</t>
  </si>
  <si>
    <t>vj</t>
  </si>
  <si>
    <t>Maria Luisa</t>
  </si>
  <si>
    <t>jd.luso</t>
  </si>
  <si>
    <t>11 99968-0345</t>
  </si>
  <si>
    <t>Favela do pantanal</t>
  </si>
  <si>
    <t xml:space="preserve">Analu hessel </t>
  </si>
  <si>
    <t>avenida interlagos</t>
  </si>
  <si>
    <t>11 97441-7928</t>
  </si>
  <si>
    <t>vila inglesa</t>
  </si>
  <si>
    <t>Marianne</t>
  </si>
  <si>
    <t>rua joaquim rodrigues de morais, 105</t>
  </si>
  <si>
    <t>vila rubi</t>
  </si>
  <si>
    <t>11 949879754</t>
  </si>
  <si>
    <t>CALENDÁRIO</t>
  </si>
  <si>
    <t>S</t>
  </si>
  <si>
    <t>T</t>
  </si>
  <si>
    <t>Q</t>
  </si>
  <si>
    <t>ANO</t>
  </si>
  <si>
    <t>Início:</t>
  </si>
  <si>
    <t>Fim mês:</t>
  </si>
  <si>
    <t>Horário</t>
  </si>
  <si>
    <t>Formulário</t>
  </si>
  <si>
    <t xml:space="preserve">  MÊS </t>
  </si>
  <si>
    <t>Oii Como Vai? Seja bem-vinda ao seu aplicativo personalizado no excel!</t>
  </si>
  <si>
    <t xml:space="preserve">Essa é sua página sobre seus queridos clientes, se sinta à vontade de usar </t>
  </si>
  <si>
    <t>todas as ferramentas feitas com carinho e pensado no seu trabalho.</t>
  </si>
  <si>
    <t>"FavElasWeb"</t>
  </si>
  <si>
    <t>Arrase essa é sua página de cadastro!</t>
  </si>
  <si>
    <t>Descrição</t>
  </si>
  <si>
    <t>Trança em tal pessoa</t>
  </si>
  <si>
    <r>
      <t xml:space="preserve"> </t>
    </r>
    <r>
      <rPr>
        <sz val="12"/>
        <color rgb="FFFFFFFF"/>
        <rFont val="Open sans"/>
      </rPr>
      <t>20/06/2024</t>
    </r>
  </si>
  <si>
    <t xml:space="preserve">   Data</t>
  </si>
  <si>
    <t>DIA</t>
  </si>
  <si>
    <r>
      <t xml:space="preserve">   </t>
    </r>
    <r>
      <rPr>
        <b/>
        <sz val="11"/>
        <color rgb="FFFFFFFF"/>
        <rFont val="Open Sans"/>
        <family val="2"/>
      </rPr>
      <t xml:space="preserve"> </t>
    </r>
  </si>
  <si>
    <t>Agenda.Horário</t>
  </si>
  <si>
    <t>Agenda.Descrição</t>
  </si>
  <si>
    <r>
      <t xml:space="preserve"> </t>
    </r>
    <r>
      <rPr>
        <b/>
        <sz val="14"/>
        <color rgb="FF7F3001"/>
        <rFont val="Calibri"/>
        <family val="2"/>
        <scheme val="minor"/>
      </rPr>
      <t>D</t>
    </r>
  </si>
  <si>
    <t>15:00</t>
  </si>
  <si>
    <t>Acessórios</t>
  </si>
  <si>
    <t xml:space="preserve">Ligas de elástico </t>
  </si>
  <si>
    <t>Lastex</t>
  </si>
  <si>
    <t xml:space="preserve">Fio de Cetim </t>
  </si>
  <si>
    <t>Anel hair</t>
  </si>
  <si>
    <t xml:space="preserve">Miçangas </t>
  </si>
  <si>
    <t xml:space="preserve">Cristais </t>
  </si>
  <si>
    <t xml:space="preserve">Argolas hair </t>
  </si>
  <si>
    <t>Amarrador de Cabelo</t>
  </si>
  <si>
    <t>Presilha</t>
  </si>
  <si>
    <t>PRODUTO</t>
  </si>
  <si>
    <t>VALOR</t>
  </si>
  <si>
    <t>Pomada Modeladora</t>
  </si>
  <si>
    <t xml:space="preserve">Gel extra forte </t>
  </si>
  <si>
    <t xml:space="preserve">Mousse Fixador </t>
  </si>
  <si>
    <t xml:space="preserve">Jumbo </t>
  </si>
  <si>
    <t>Materiais com Pouco Rebastecimento</t>
  </si>
  <si>
    <t>Pente cabo de ferro</t>
  </si>
  <si>
    <t>Secador</t>
  </si>
  <si>
    <t>Tesoura</t>
  </si>
  <si>
    <t xml:space="preserve">Isqueiro </t>
  </si>
  <si>
    <t>Materiais Essenciais</t>
  </si>
  <si>
    <t>Uma forma prática de saber todos</t>
  </si>
  <si>
    <r>
      <t xml:space="preserve"> </t>
    </r>
    <r>
      <rPr>
        <sz val="14"/>
        <color rgb="FFFFFFFF"/>
        <rFont val="Open sans"/>
      </rPr>
      <t>os materiais que você usa.</t>
    </r>
    <r>
      <rPr>
        <sz val="14"/>
        <color theme="1"/>
        <rFont val="Open sans"/>
      </rPr>
      <t xml:space="preserve"> </t>
    </r>
  </si>
  <si>
    <t xml:space="preserve">E se sinta à vontade, </t>
  </si>
  <si>
    <t xml:space="preserve">em fazer os ajustes dos preços
</t>
  </si>
  <si>
    <t xml:space="preserve"> e dos produtos quando quiser.</t>
  </si>
  <si>
    <t>Agora é a hora de você ter seus materiais na palma da mão, sem ficar pegando caderninho!</t>
  </si>
  <si>
    <t>“FavElasWeb”</t>
  </si>
  <si>
    <t>TOTAL:</t>
  </si>
  <si>
    <t>12 junho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</si>
</sst>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R$&quot;\ #,##0.00;[Red]\-&quot;R$&quot;\ #,##0.00"/>
    <numFmt numFmtId="164" formatCode="dd"/>
    <numFmt numFmtId="165" formatCode="d/m/yy;@"/>
    <numFmt numFmtId="166" formatCode="[$-F400]h:mm:ss\ AM/PM"/>
  </numFmts>
  <fonts count="31">
    <font>
      <sz val="11"/>
      <color theme="1"/>
      <name val="Calibri"/>
      <family val="2"/>
      <scheme val="minor"/>
    </font>
    <font>
      <sz val="11"/>
      <color rgb="FFFFFFFF"/>
      <name val="Open sans"/>
    </font>
    <font>
      <sz val="14"/>
      <color rgb="FFFFFFFF"/>
      <name val="Open sans"/>
    </font>
    <font>
      <b/>
      <sz val="11"/>
      <color theme="1"/>
      <name val="Open sans"/>
    </font>
    <font>
      <b/>
      <sz val="11"/>
      <color theme="0"/>
      <name val="Calibri"/>
      <family val="2"/>
      <scheme val="minor"/>
    </font>
    <font>
      <sz val="16"/>
      <color theme="0"/>
      <name val="OPEN SANS"/>
    </font>
    <font>
      <b/>
      <sz val="14"/>
      <color theme="0"/>
      <name val="Calibri"/>
      <family val="2"/>
      <scheme val="minor"/>
    </font>
    <font>
      <b/>
      <sz val="11"/>
      <color rgb="FFF26F5C"/>
      <name val="Calibri"/>
      <family val="2"/>
      <scheme val="minor"/>
    </font>
    <font>
      <b/>
      <sz val="11"/>
      <color theme="0"/>
      <name val="Open sans"/>
    </font>
    <font>
      <b/>
      <sz val="11"/>
      <color rgb="FFFFFFFF"/>
      <name val="Open sans"/>
    </font>
    <font>
      <b/>
      <sz val="16"/>
      <color rgb="FFFFFFFF"/>
      <name val="Open sans"/>
    </font>
    <font>
      <b/>
      <sz val="18"/>
      <color rgb="FFFFFFFF"/>
      <name val="Open sans"/>
    </font>
    <font>
      <b/>
      <sz val="16"/>
      <color theme="0"/>
      <name val="Open sans"/>
    </font>
    <font>
      <sz val="14"/>
      <color theme="0"/>
      <name val="Open sans"/>
    </font>
    <font>
      <sz val="18"/>
      <color theme="0"/>
      <name val="OPEN SANS"/>
    </font>
    <font>
      <sz val="20"/>
      <color theme="0"/>
      <name val="OPEN SANS"/>
    </font>
    <font>
      <sz val="11"/>
      <color rgb="FFFFFFFF"/>
      <name val="Calibri"/>
      <family val="2"/>
      <scheme val="minor"/>
    </font>
    <font>
      <sz val="12"/>
      <color rgb="FFFFFFFF"/>
      <name val="Open sans"/>
    </font>
    <font>
      <b/>
      <sz val="12"/>
      <color rgb="FFFFFFFF"/>
      <name val="Open sans"/>
    </font>
    <font>
      <b/>
      <sz val="12"/>
      <color rgb="FFFFFFFF"/>
      <name val="Open Sans"/>
      <family val="2"/>
    </font>
    <font>
      <b/>
      <sz val="11"/>
      <color rgb="FFFFFFFF"/>
      <name val="Open Sans"/>
      <family val="2"/>
    </font>
    <font>
      <b/>
      <sz val="14"/>
      <color rgb="FF7F3001"/>
      <name val="Calibri"/>
      <family val="2"/>
      <scheme val="minor"/>
    </font>
    <font>
      <b/>
      <sz val="14"/>
      <color theme="0"/>
      <name val="Open Sans"/>
      <family val="2"/>
    </font>
    <font>
      <sz val="14"/>
      <color theme="1"/>
      <name val="Open Sans"/>
      <family val="2"/>
    </font>
    <font>
      <sz val="16"/>
      <color rgb="FFFFFFFF"/>
      <name val="Open Sans"/>
      <family val="2"/>
    </font>
    <font>
      <sz val="11"/>
      <color theme="1"/>
      <name val="Open sans"/>
    </font>
    <font>
      <b/>
      <sz val="14"/>
      <color rgb="FFFFFFFF"/>
      <name val="Open sans"/>
    </font>
    <font>
      <sz val="16"/>
      <color rgb="FFFFFFFF"/>
      <name val="Open sans"/>
    </font>
    <font>
      <sz val="14"/>
      <color theme="1"/>
      <name val="Open sans"/>
    </font>
    <font>
      <sz val="18"/>
      <color rgb="FFFFFFFF"/>
      <name val="Open Sans"/>
      <family val="2"/>
    </font>
    <font>
      <sz val="16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803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F26F5C"/>
      </bottom>
      <diagonal/>
    </border>
    <border>
      <left style="medium">
        <color rgb="FF7F3001"/>
      </left>
      <right/>
      <top style="medium">
        <color rgb="FF7F3001"/>
      </top>
      <bottom style="double">
        <color rgb="FF7F3001"/>
      </bottom>
      <diagonal/>
    </border>
    <border>
      <left/>
      <right/>
      <top style="medium">
        <color rgb="FF7F3001"/>
      </top>
      <bottom style="double">
        <color rgb="FF7F3001"/>
      </bottom>
      <diagonal/>
    </border>
    <border>
      <left/>
      <right style="double">
        <color rgb="FF7F3001"/>
      </right>
      <top style="medium">
        <color rgb="FF7F3001"/>
      </top>
      <bottom style="double">
        <color rgb="FF7F3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7F3001"/>
      </left>
      <right style="double">
        <color rgb="FF7F3001"/>
      </right>
      <top style="medium">
        <color rgb="FF7F3001"/>
      </top>
      <bottom style="double">
        <color rgb="FF7F3001"/>
      </bottom>
      <diagonal/>
    </border>
    <border>
      <left style="medium">
        <color rgb="FF7F3001"/>
      </left>
      <right style="double">
        <color rgb="FF7F3001"/>
      </right>
      <top style="medium">
        <color rgb="FF7F3001"/>
      </top>
      <bottom style="medium">
        <color rgb="FF7F3001"/>
      </bottom>
      <diagonal/>
    </border>
    <border>
      <left style="double">
        <color rgb="FF7F3001"/>
      </left>
      <right style="double">
        <color rgb="FF7F3001"/>
      </right>
      <top style="medium">
        <color rgb="FF7F3001"/>
      </top>
      <bottom style="medium">
        <color rgb="FF7F3001"/>
      </bottom>
      <diagonal/>
    </border>
    <border>
      <left style="double">
        <color rgb="FF7F3001"/>
      </left>
      <right style="double">
        <color rgb="FF7F3001"/>
      </right>
      <top style="medium">
        <color rgb="FF7F3001"/>
      </top>
      <bottom style="double">
        <color rgb="FF7F3001"/>
      </bottom>
      <diagonal/>
    </border>
    <border>
      <left style="double">
        <color rgb="FF7F3001"/>
      </left>
      <right style="double">
        <color rgb="FF7F3001"/>
      </right>
      <top style="double">
        <color rgb="FF7F3001"/>
      </top>
      <bottom style="medium">
        <color rgb="FF7F3001"/>
      </bottom>
      <diagonal/>
    </border>
    <border>
      <left style="double">
        <color rgb="FF7F3001"/>
      </left>
      <right style="double">
        <color rgb="FF7F3001"/>
      </right>
      <top style="double">
        <color rgb="FF7F3001"/>
      </top>
      <bottom style="double">
        <color rgb="FF7F3001"/>
      </bottom>
      <diagonal/>
    </border>
    <border>
      <left style="double">
        <color rgb="FF7F3001"/>
      </left>
      <right style="double">
        <color rgb="FF7F3001"/>
      </right>
      <top style="double">
        <color rgb="FF7F3001"/>
      </top>
      <bottom/>
      <diagonal/>
    </border>
    <border>
      <left style="double">
        <color rgb="FF7F3001"/>
      </left>
      <right style="double">
        <color rgb="FF7F3001"/>
      </right>
      <top/>
      <bottom style="double">
        <color rgb="FF7F300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3" borderId="0" xfId="0" applyFill="1"/>
    <xf numFmtId="0" fontId="0" fillId="2" borderId="1" xfId="0" applyFill="1" applyBorder="1"/>
    <xf numFmtId="0" fontId="0" fillId="3" borderId="0" xfId="0" applyFill="1" applyAlignment="1">
      <alignment horizontal="right"/>
    </xf>
    <xf numFmtId="0" fontId="1" fillId="3" borderId="0" xfId="0" applyFont="1" applyFill="1" applyAlignment="1">
      <alignment horizontal="right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0" borderId="5" xfId="0" applyFont="1" applyBorder="1" applyAlignment="1">
      <alignment horizont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4" fontId="0" fillId="3" borderId="0" xfId="0" applyNumberFormat="1" applyFill="1"/>
    <xf numFmtId="0" fontId="8" fillId="3" borderId="0" xfId="0" applyFont="1" applyFill="1" applyAlignment="1">
      <alignment horizontal="right"/>
    </xf>
    <xf numFmtId="0" fontId="0" fillId="4" borderId="0" xfId="0" applyFill="1"/>
    <xf numFmtId="0" fontId="9" fillId="3" borderId="0" xfId="0" applyFont="1" applyFill="1"/>
    <xf numFmtId="0" fontId="2" fillId="3" borderId="0" xfId="0" applyFont="1" applyFill="1"/>
    <xf numFmtId="0" fontId="15" fillId="3" borderId="0" xfId="0" applyFont="1" applyFill="1"/>
    <xf numFmtId="0" fontId="14" fillId="3" borderId="0" xfId="0" applyFont="1" applyFill="1"/>
    <xf numFmtId="0" fontId="16" fillId="3" borderId="0" xfId="0" applyFont="1" applyFill="1"/>
    <xf numFmtId="0" fontId="18" fillId="3" borderId="0" xfId="0" applyFont="1" applyFill="1" applyAlignment="1">
      <alignment horizontal="center" vertical="center"/>
    </xf>
    <xf numFmtId="0" fontId="0" fillId="3" borderId="0" xfId="0" quotePrefix="1" applyFill="1" applyAlignment="1">
      <alignment horizontal="center"/>
    </xf>
    <xf numFmtId="0" fontId="17" fillId="3" borderId="0" xfId="0" applyFon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19" fillId="3" borderId="0" xfId="0" applyFont="1" applyFill="1" applyAlignment="1">
      <alignment horizontal="center" vertical="center"/>
    </xf>
    <xf numFmtId="165" fontId="0" fillId="3" borderId="0" xfId="0" applyNumberFormat="1" applyFill="1" applyAlignment="1">
      <alignment horizontal="center"/>
    </xf>
    <xf numFmtId="165" fontId="20" fillId="3" borderId="0" xfId="0" applyNumberFormat="1" applyFont="1" applyFill="1" applyAlignment="1">
      <alignment horizontal="center"/>
    </xf>
    <xf numFmtId="0" fontId="0" fillId="0" borderId="0" xfId="0" applyFill="1"/>
    <xf numFmtId="0" fontId="22" fillId="0" borderId="0" xfId="0" applyFont="1" applyFill="1"/>
    <xf numFmtId="14" fontId="23" fillId="0" borderId="0" xfId="0" applyNumberFormat="1" applyFont="1" applyFill="1"/>
    <xf numFmtId="20" fontId="23" fillId="0" borderId="0" xfId="0" applyNumberFormat="1" applyFont="1" applyFill="1"/>
    <xf numFmtId="14" fontId="0" fillId="0" borderId="0" xfId="0" applyNumberFormat="1" applyFill="1"/>
    <xf numFmtId="166" fontId="0" fillId="0" borderId="0" xfId="0" applyNumberFormat="1" applyFill="1" applyAlignment="1">
      <alignment horizontal="center"/>
    </xf>
    <xf numFmtId="0" fontId="20" fillId="0" borderId="0" xfId="0" applyFont="1" applyFill="1" applyAlignment="1">
      <alignment horizontal="center"/>
    </xf>
    <xf numFmtId="164" fontId="7" fillId="0" borderId="5" xfId="0" applyNumberFormat="1" applyFont="1" applyFill="1" applyBorder="1" applyAlignment="1">
      <alignment horizontal="center" vertical="center"/>
    </xf>
    <xf numFmtId="164" fontId="6" fillId="0" borderId="5" xfId="0" applyNumberFormat="1" applyFont="1" applyFill="1" applyBorder="1" applyAlignment="1">
      <alignment horizontal="center" vertical="center"/>
    </xf>
    <xf numFmtId="164" fontId="21" fillId="0" borderId="5" xfId="0" applyNumberFormat="1" applyFont="1" applyFill="1" applyBorder="1" applyAlignment="1">
      <alignment horizontal="center" vertical="center"/>
    </xf>
    <xf numFmtId="0" fontId="1" fillId="3" borderId="0" xfId="0" applyFont="1" applyFill="1"/>
    <xf numFmtId="0" fontId="18" fillId="3" borderId="0" xfId="0" applyFont="1" applyFill="1"/>
    <xf numFmtId="0" fontId="0" fillId="3" borderId="0" xfId="0" applyFont="1" applyFill="1"/>
    <xf numFmtId="0" fontId="0" fillId="3" borderId="0" xfId="0" applyFill="1" applyBorder="1"/>
    <xf numFmtId="0" fontId="25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/>
    <xf numFmtId="0" fontId="2" fillId="3" borderId="0" xfId="0" applyFont="1" applyFill="1" applyAlignment="1"/>
    <xf numFmtId="0" fontId="10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8" fontId="17" fillId="3" borderId="8" xfId="0" applyNumberFormat="1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/>
    </xf>
    <xf numFmtId="8" fontId="17" fillId="3" borderId="9" xfId="0" applyNumberFormat="1" applyFont="1" applyFill="1" applyBorder="1" applyAlignment="1">
      <alignment horizontal="center"/>
    </xf>
    <xf numFmtId="0" fontId="17" fillId="3" borderId="9" xfId="0" applyFont="1" applyFill="1" applyBorder="1" applyAlignment="1">
      <alignment horizontal="center"/>
    </xf>
    <xf numFmtId="0" fontId="27" fillId="3" borderId="0" xfId="0" applyFont="1" applyFill="1" applyAlignment="1">
      <alignment horizontal="center"/>
    </xf>
    <xf numFmtId="0" fontId="30" fillId="3" borderId="0" xfId="0" applyFont="1" applyFill="1" applyAlignment="1">
      <alignment horizontal="center"/>
    </xf>
    <xf numFmtId="0" fontId="17" fillId="3" borderId="10" xfId="0" applyFont="1" applyFill="1" applyBorder="1" applyAlignment="1">
      <alignment horizontal="center"/>
    </xf>
    <xf numFmtId="8" fontId="17" fillId="3" borderId="10" xfId="0" applyNumberFormat="1" applyFont="1" applyFill="1" applyBorder="1" applyAlignment="1">
      <alignment horizontal="center"/>
    </xf>
    <xf numFmtId="0" fontId="29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/>
    </xf>
    <xf numFmtId="0" fontId="26" fillId="3" borderId="10" xfId="0" applyFont="1" applyFill="1" applyBorder="1" applyAlignment="1">
      <alignment horizontal="center"/>
    </xf>
    <xf numFmtId="0" fontId="18" fillId="3" borderId="12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8" fontId="9" fillId="3" borderId="12" xfId="0" applyNumberFormat="1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8" fontId="9" fillId="3" borderId="11" xfId="0" applyNumberFormat="1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</cellXfs>
  <cellStyles count="1">
    <cellStyle name="Normal" xfId="0" builtinId="0"/>
  </cellStyles>
  <dxfs count="13">
    <dxf>
      <font>
        <b/>
        <color rgb="FFFFFFFF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[$-F400]h:mm:ss\ AM/P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d/m/yy;@"/>
      <fill>
        <patternFill patternType="solid">
          <fgColor indexed="64"/>
          <bgColor rgb="FFFF803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803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Open Sans"/>
        <scheme val="none"/>
      </font>
      <numFmt numFmtId="165" formatCode="d/m/yy;@"/>
      <fill>
        <patternFill patternType="solid">
          <fgColor indexed="64"/>
          <bgColor rgb="FFFF803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803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8033"/>
        </patternFill>
      </fill>
      <alignment horizontal="center" vertical="bottom" textRotation="0" wrapText="0" indent="0" justifyLastLine="0" shrinkToFit="0" readingOrder="0"/>
    </dxf>
    <dxf>
      <numFmt numFmtId="164" formatCode="dd"/>
      <fill>
        <patternFill patternType="solid">
          <fgColor indexed="64"/>
          <bgColor rgb="FFFF803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80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Open sans"/>
        <scheme val="none"/>
      </font>
      <fill>
        <patternFill patternType="solid">
          <fgColor indexed="64"/>
          <bgColor rgb="FFFF803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  <color rgb="FF7F3001"/>
      <color rgb="FFFF8033"/>
      <color rgb="FFF26F5C"/>
      <color rgb="FF7F6F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$C$21" max="2070" min="2022" page="10" val="2024"/>
</file>

<file path=xl/ctrlProps/ctrlProp2.xml><?xml version="1.0" encoding="utf-8"?>
<formControlPr xmlns="http://schemas.microsoft.com/office/spreadsheetml/2009/9/main" objectType="Spin" dx="22" fmlaLink="$F$21" max="12" min="1" page="10" val="6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6.png"/><Relationship Id="rId3" Type="http://schemas.openxmlformats.org/officeDocument/2006/relationships/hyperlink" Target="#In&#237;cio!A1"/><Relationship Id="rId7" Type="http://schemas.openxmlformats.org/officeDocument/2006/relationships/image" Target="../media/image4.png"/><Relationship Id="rId12" Type="http://schemas.openxmlformats.org/officeDocument/2006/relationships/hyperlink" Target="dashboard_indayara2.xlsx" TargetMode="External"/><Relationship Id="rId17" Type="http://schemas.openxmlformats.org/officeDocument/2006/relationships/image" Target="../media/image9.png"/><Relationship Id="rId2" Type="http://schemas.openxmlformats.org/officeDocument/2006/relationships/image" Target="../media/image2.jpeg"/><Relationship Id="rId16" Type="http://schemas.openxmlformats.org/officeDocument/2006/relationships/image" Target="../media/image8.png"/><Relationship Id="rId1" Type="http://schemas.openxmlformats.org/officeDocument/2006/relationships/image" Target="../media/image1.png"/><Relationship Id="rId6" Type="http://schemas.openxmlformats.org/officeDocument/2006/relationships/hyperlink" Target="#Clientes!A1"/><Relationship Id="rId11" Type="http://schemas.microsoft.com/office/2007/relationships/hdphoto" Target="../media/hdphoto3.wdp"/><Relationship Id="rId5" Type="http://schemas.microsoft.com/office/2007/relationships/hdphoto" Target="../media/hdphoto1.wdp"/><Relationship Id="rId15" Type="http://schemas.openxmlformats.org/officeDocument/2006/relationships/image" Target="../media/image7.png"/><Relationship Id="rId10" Type="http://schemas.openxmlformats.org/officeDocument/2006/relationships/image" Target="../media/image5.png"/><Relationship Id="rId4" Type="http://schemas.openxmlformats.org/officeDocument/2006/relationships/image" Target="../media/image3.png"/><Relationship Id="rId9" Type="http://schemas.openxmlformats.org/officeDocument/2006/relationships/hyperlink" Target="#Estoque!A1"/><Relationship Id="rId14" Type="http://schemas.microsoft.com/office/2007/relationships/hdphoto" Target="../media/hdphoto4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hyperlink" Target="#'Formul&#225;rio Clientes'!A1"/><Relationship Id="rId3" Type="http://schemas.openxmlformats.org/officeDocument/2006/relationships/hyperlink" Target="#In&#237;cio!A1"/><Relationship Id="rId7" Type="http://schemas.openxmlformats.org/officeDocument/2006/relationships/image" Target="../media/image5.png"/><Relationship Id="rId12" Type="http://schemas.openxmlformats.org/officeDocument/2006/relationships/image" Target="../media/image11.png"/><Relationship Id="rId2" Type="http://schemas.openxmlformats.org/officeDocument/2006/relationships/image" Target="../media/image2.jpeg"/><Relationship Id="rId16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hyperlink" Target="#Estoque!A1"/><Relationship Id="rId11" Type="http://schemas.microsoft.com/office/2007/relationships/hdphoto" Target="../media/hdphoto4.wdp"/><Relationship Id="rId5" Type="http://schemas.microsoft.com/office/2007/relationships/hdphoto" Target="../media/hdphoto1.wdp"/><Relationship Id="rId15" Type="http://schemas.openxmlformats.org/officeDocument/2006/relationships/image" Target="../media/image9.png"/><Relationship Id="rId10" Type="http://schemas.openxmlformats.org/officeDocument/2006/relationships/image" Target="../media/image6.png"/><Relationship Id="rId4" Type="http://schemas.openxmlformats.org/officeDocument/2006/relationships/image" Target="../media/image10.png"/><Relationship Id="rId9" Type="http://schemas.openxmlformats.org/officeDocument/2006/relationships/hyperlink" Target="dashboard_indayara2.xlsx" TargetMode="External"/><Relationship Id="rId14" Type="http://schemas.openxmlformats.org/officeDocument/2006/relationships/hyperlink" Target="#'Agenda Compromissos'!A1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11.png"/><Relationship Id="rId18" Type="http://schemas.openxmlformats.org/officeDocument/2006/relationships/image" Target="../media/image9.png"/><Relationship Id="rId3" Type="http://schemas.openxmlformats.org/officeDocument/2006/relationships/hyperlink" Target="#In&#237;cio!A1"/><Relationship Id="rId7" Type="http://schemas.openxmlformats.org/officeDocument/2006/relationships/image" Target="../media/image5.png"/><Relationship Id="rId12" Type="http://schemas.openxmlformats.org/officeDocument/2006/relationships/hyperlink" Target="#Clientes!A1"/><Relationship Id="rId17" Type="http://schemas.openxmlformats.org/officeDocument/2006/relationships/image" Target="../media/image13.png"/><Relationship Id="rId2" Type="http://schemas.openxmlformats.org/officeDocument/2006/relationships/image" Target="../media/image2.jpeg"/><Relationship Id="rId16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hyperlink" Target="#Estoque!A1"/><Relationship Id="rId11" Type="http://schemas.microsoft.com/office/2007/relationships/hdphoto" Target="../media/hdphoto4.wdp"/><Relationship Id="rId5" Type="http://schemas.microsoft.com/office/2007/relationships/hdphoto" Target="../media/hdphoto1.wdp"/><Relationship Id="rId15" Type="http://schemas.openxmlformats.org/officeDocument/2006/relationships/hyperlink" Target="#'Agenda Compromissos'!B3"/><Relationship Id="rId10" Type="http://schemas.openxmlformats.org/officeDocument/2006/relationships/image" Target="../media/image6.png"/><Relationship Id="rId4" Type="http://schemas.openxmlformats.org/officeDocument/2006/relationships/image" Target="../media/image10.png"/><Relationship Id="rId9" Type="http://schemas.openxmlformats.org/officeDocument/2006/relationships/hyperlink" Target="dashboard_indayara2.xlsx" TargetMode="External"/><Relationship Id="rId14" Type="http://schemas.openxmlformats.org/officeDocument/2006/relationships/hyperlink" Target="#'Formul&#225;rio Clientes'!A1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11.png"/><Relationship Id="rId3" Type="http://schemas.openxmlformats.org/officeDocument/2006/relationships/hyperlink" Target="#In&#237;cio!A1"/><Relationship Id="rId7" Type="http://schemas.openxmlformats.org/officeDocument/2006/relationships/image" Target="../media/image5.png"/><Relationship Id="rId12" Type="http://schemas.openxmlformats.org/officeDocument/2006/relationships/hyperlink" Target="#Clientes!A1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hyperlink" Target="#Estoque!A1"/><Relationship Id="rId11" Type="http://schemas.microsoft.com/office/2007/relationships/hdphoto" Target="../media/hdphoto4.wdp"/><Relationship Id="rId5" Type="http://schemas.microsoft.com/office/2007/relationships/hdphoto" Target="../media/hdphoto1.wdp"/><Relationship Id="rId15" Type="http://schemas.openxmlformats.org/officeDocument/2006/relationships/image" Target="../media/image9.png"/><Relationship Id="rId10" Type="http://schemas.openxmlformats.org/officeDocument/2006/relationships/image" Target="../media/image6.png"/><Relationship Id="rId4" Type="http://schemas.openxmlformats.org/officeDocument/2006/relationships/image" Target="../media/image10.png"/><Relationship Id="rId9" Type="http://schemas.openxmlformats.org/officeDocument/2006/relationships/hyperlink" Target="dashboard_indayara2.xlsx" TargetMode="External"/><Relationship Id="rId14" Type="http://schemas.openxmlformats.org/officeDocument/2006/relationships/hyperlink" Target="#'Formul&#225;rio Clientes'!A1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hyperlink" Target="#Materiais!A1"/><Relationship Id="rId3" Type="http://schemas.openxmlformats.org/officeDocument/2006/relationships/hyperlink" Target="#In&#237;cio!A1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hyperlink" Target="#Clientes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2.png"/><Relationship Id="rId10" Type="http://schemas.openxmlformats.org/officeDocument/2006/relationships/hyperlink" Target="dashboard_indayara2.xlsx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4.png"/><Relationship Id="rId1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microsoft.com/office/2007/relationships/hdphoto" Target="../media/hdphoto4.wdp"/><Relationship Id="rId3" Type="http://schemas.openxmlformats.org/officeDocument/2006/relationships/hyperlink" Target="#In&#237;cio!A1"/><Relationship Id="rId7" Type="http://schemas.openxmlformats.org/officeDocument/2006/relationships/hyperlink" Target="#Clientes!A1"/><Relationship Id="rId12" Type="http://schemas.openxmlformats.org/officeDocument/2006/relationships/image" Target="../media/image6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hyperlink" Target="#Inic&#237;o!B3"/><Relationship Id="rId11" Type="http://schemas.openxmlformats.org/officeDocument/2006/relationships/hyperlink" Target="dashboard_indayara2.xlsm" TargetMode="External"/><Relationship Id="rId5" Type="http://schemas.microsoft.com/office/2007/relationships/hdphoto" Target="../media/hdphoto1.wdp"/><Relationship Id="rId10" Type="http://schemas.openxmlformats.org/officeDocument/2006/relationships/image" Target="../media/image14.png"/><Relationship Id="rId4" Type="http://schemas.openxmlformats.org/officeDocument/2006/relationships/image" Target="../media/image10.png"/><Relationship Id="rId9" Type="http://schemas.microsoft.com/office/2007/relationships/hdphoto" Target="../media/hdphoto2.wdp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4</xdr:col>
      <xdr:colOff>9525</xdr:colOff>
      <xdr:row>0</xdr:row>
      <xdr:rowOff>857250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0" y="9525"/>
          <a:ext cx="2447925" cy="847725"/>
          <a:chOff x="0" y="9525"/>
          <a:chExt cx="2790824" cy="847725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0" y="9525"/>
            <a:ext cx="2790824" cy="847725"/>
          </a:xfrm>
          <a:prstGeom prst="rect">
            <a:avLst/>
          </a:prstGeom>
          <a:gradFill flip="none" rotWithShape="1">
            <a:gsLst>
              <a:gs pos="69000">
                <a:srgbClr val="FF8033"/>
              </a:gs>
              <a:gs pos="90000">
                <a:srgbClr val="F26F5C"/>
              </a:gs>
              <a:gs pos="84000">
                <a:srgbClr val="F26F5C"/>
              </a:gs>
              <a:gs pos="100000">
                <a:srgbClr val="F26F5C"/>
              </a:gs>
            </a:gsLst>
            <a:lin ang="108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95351" y="133351"/>
            <a:ext cx="1209674" cy="647700"/>
          </a:xfrm>
          <a:prstGeom prst="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>
            <a:noFill/>
          </a:ln>
        </xdr:spPr>
      </xdr:pic>
    </xdr:grpSp>
    <xdr:clientData/>
  </xdr:twoCellAnchor>
  <xdr:twoCellAnchor>
    <xdr:from>
      <xdr:col>3</xdr:col>
      <xdr:colOff>333375</xdr:colOff>
      <xdr:row>0</xdr:row>
      <xdr:rowOff>9525</xdr:rowOff>
    </xdr:from>
    <xdr:to>
      <xdr:col>5</xdr:col>
      <xdr:colOff>257175</xdr:colOff>
      <xdr:row>1</xdr:row>
      <xdr:rowOff>0</xdr:rowOff>
    </xdr:to>
    <xdr:grpSp>
      <xdr:nvGrpSpPr>
        <xdr:cNvPr id="41" name="Agrupar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2162175" y="9525"/>
          <a:ext cx="1143000" cy="857250"/>
          <a:chOff x="2162175" y="9525"/>
          <a:chExt cx="1143000" cy="857250"/>
        </a:xfrm>
        <a:solidFill>
          <a:schemeClr val="accent2"/>
        </a:solidFill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2162175" y="9525"/>
            <a:ext cx="1143000" cy="857250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colorTemperature colorTemp="7563"/>
                    </a14:imgEffect>
                    <a14:imgEffect>
                      <a14:saturation sat="232000"/>
                    </a14:imgEffect>
                    <a14:imgEffect>
                      <a14:brightnessContrast bright="12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3175" y="95250"/>
            <a:ext cx="428625" cy="428625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343150" y="600075"/>
            <a:ext cx="885825" cy="1524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8033"/>
                </a:solidFill>
                <a:latin typeface="Open sans"/>
              </a:rPr>
              <a:t>Início</a:t>
            </a:r>
          </a:p>
        </xdr:txBody>
      </xdr:sp>
    </xdr:grpSp>
    <xdr:clientData/>
  </xdr:twoCellAnchor>
  <xdr:twoCellAnchor>
    <xdr:from>
      <xdr:col>5</xdr:col>
      <xdr:colOff>257175</xdr:colOff>
      <xdr:row>0</xdr:row>
      <xdr:rowOff>9525</xdr:rowOff>
    </xdr:from>
    <xdr:to>
      <xdr:col>7</xdr:col>
      <xdr:colOff>180975</xdr:colOff>
      <xdr:row>1</xdr:row>
      <xdr:rowOff>0</xdr:rowOff>
    </xdr:to>
    <xdr:grpSp>
      <xdr:nvGrpSpPr>
        <xdr:cNvPr id="19" name="Agrupar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3305175" y="9525"/>
          <a:ext cx="1143000" cy="857250"/>
          <a:chOff x="3305175" y="9525"/>
          <a:chExt cx="1143000" cy="857250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3305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3486150" y="600075"/>
            <a:ext cx="923925" cy="152400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Clientes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57600" y="85725"/>
            <a:ext cx="485775" cy="48577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0</xdr:row>
      <xdr:rowOff>9525</xdr:rowOff>
    </xdr:from>
    <xdr:to>
      <xdr:col>9</xdr:col>
      <xdr:colOff>142874</xdr:colOff>
      <xdr:row>1</xdr:row>
      <xdr:rowOff>0</xdr:rowOff>
    </xdr:to>
    <xdr:grpSp>
      <xdr:nvGrpSpPr>
        <xdr:cNvPr id="26" name="Agrupar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4448175" y="9525"/>
          <a:ext cx="1181099" cy="857250"/>
          <a:chOff x="4448175" y="9525"/>
          <a:chExt cx="1181099" cy="857250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448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619625" y="581025"/>
            <a:ext cx="1009649" cy="238125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Estoque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8225" y="666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85725</xdr:colOff>
      <xdr:row>0</xdr:row>
      <xdr:rowOff>9525</xdr:rowOff>
    </xdr:from>
    <xdr:to>
      <xdr:col>11</xdr:col>
      <xdr:colOff>400050</xdr:colOff>
      <xdr:row>1</xdr:row>
      <xdr:rowOff>0</xdr:rowOff>
    </xdr:to>
    <xdr:grpSp>
      <xdr:nvGrpSpPr>
        <xdr:cNvPr id="8" name="Agrupar 7">
          <a:hlinkClick xmlns:r="http://schemas.openxmlformats.org/officeDocument/2006/relationships" r:id="rId12"/>
        </xdr:cNvPr>
        <xdr:cNvGrpSpPr/>
      </xdr:nvGrpSpPr>
      <xdr:grpSpPr>
        <a:xfrm>
          <a:off x="5572125" y="9525"/>
          <a:ext cx="1533525" cy="857250"/>
          <a:chOff x="5572125" y="9525"/>
          <a:chExt cx="1533525" cy="857250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5962650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5572125" y="114300"/>
            <a:ext cx="1400175" cy="695325"/>
            <a:chOff x="5572125" y="114300"/>
            <a:chExt cx="1400175" cy="695325"/>
          </a:xfrm>
        </xdr:grpSpPr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5572125" y="571500"/>
              <a:ext cx="1400175" cy="238125"/>
            </a:xfrm>
            <a:prstGeom prst="rect">
              <a:avLst/>
            </a:prstGeom>
            <a:solidFill>
              <a:srgbClr val="FF8033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600">
                  <a:solidFill>
                    <a:srgbClr val="FFFFFF"/>
                  </a:solidFill>
                  <a:latin typeface="Open sans"/>
                </a:rPr>
                <a:t>Dashboard</a:t>
              </a:r>
              <a:endParaRPr lang="pt-BR" sz="1400">
                <a:solidFill>
                  <a:srgbClr val="FFFFFF"/>
                </a:solidFill>
                <a:latin typeface="Open sans"/>
              </a:endParaRP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BEBA8EAE-BF5A-486C-A8C5-ECC9F3942E4B}">
                  <a14:imgProps xmlns:a14="http://schemas.microsoft.com/office/drawing/2010/main">
                    <a14:imgLayer r:embed="rId1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019800" y="114300"/>
              <a:ext cx="447675" cy="447675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447673</xdr:colOff>
      <xdr:row>1</xdr:row>
      <xdr:rowOff>476250</xdr:rowOff>
    </xdr:from>
    <xdr:to>
      <xdr:col>29</xdr:col>
      <xdr:colOff>9524</xdr:colOff>
      <xdr:row>41</xdr:row>
      <xdr:rowOff>9525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591673" y="1343025"/>
          <a:ext cx="8096251" cy="7496175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342900</xdr:colOff>
      <xdr:row>17</xdr:row>
      <xdr:rowOff>9525</xdr:rowOff>
    </xdr:from>
    <xdr:to>
      <xdr:col>11</xdr:col>
      <xdr:colOff>552755</xdr:colOff>
      <xdr:row>28</xdr:row>
      <xdr:rowOff>133350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000500" y="4219575"/>
          <a:ext cx="3257855" cy="2219325"/>
        </a:xfrm>
        <a:prstGeom prst="rect">
          <a:avLst/>
        </a:prstGeom>
      </xdr:spPr>
    </xdr:pic>
    <xdr:clientData/>
  </xdr:twoCellAnchor>
  <xdr:twoCellAnchor>
    <xdr:from>
      <xdr:col>7</xdr:col>
      <xdr:colOff>76200</xdr:colOff>
      <xdr:row>13</xdr:row>
      <xdr:rowOff>66675</xdr:rowOff>
    </xdr:from>
    <xdr:to>
      <xdr:col>11</xdr:col>
      <xdr:colOff>180975</xdr:colOff>
      <xdr:row>17</xdr:row>
      <xdr:rowOff>57150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4343400" y="3514725"/>
          <a:ext cx="2543175" cy="752475"/>
        </a:xfrm>
        <a:prstGeom prst="rect">
          <a:avLst/>
        </a:prstGeom>
        <a:solidFill>
          <a:srgbClr val="FF803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solidFill>
                <a:srgbClr val="FFFFFF"/>
              </a:solidFill>
              <a:latin typeface="Open sans"/>
            </a:rPr>
            <a:t>APLICATIVO</a:t>
          </a:r>
        </a:p>
      </xdr:txBody>
    </xdr:sp>
    <xdr:clientData/>
  </xdr:twoCellAnchor>
  <xdr:twoCellAnchor editAs="oneCell">
    <xdr:from>
      <xdr:col>0</xdr:col>
      <xdr:colOff>0</xdr:colOff>
      <xdr:row>35</xdr:row>
      <xdr:rowOff>123825</xdr:rowOff>
    </xdr:from>
    <xdr:to>
      <xdr:col>6</xdr:col>
      <xdr:colOff>199599</xdr:colOff>
      <xdr:row>39</xdr:row>
      <xdr:rowOff>161925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10500"/>
          <a:ext cx="3857199" cy="80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4</xdr:col>
      <xdr:colOff>9525</xdr:colOff>
      <xdr:row>0</xdr:row>
      <xdr:rowOff>857250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9525"/>
          <a:ext cx="2447925" cy="847725"/>
          <a:chOff x="0" y="9525"/>
          <a:chExt cx="2790824" cy="8477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0" y="9525"/>
            <a:ext cx="2790824" cy="847725"/>
          </a:xfrm>
          <a:prstGeom prst="rect">
            <a:avLst/>
          </a:prstGeom>
          <a:gradFill flip="none" rotWithShape="1">
            <a:gsLst>
              <a:gs pos="69000">
                <a:srgbClr val="FF8033"/>
              </a:gs>
              <a:gs pos="90000">
                <a:srgbClr val="F26F5C"/>
              </a:gs>
              <a:gs pos="84000">
                <a:srgbClr val="F26F5C"/>
              </a:gs>
              <a:gs pos="100000">
                <a:srgbClr val="F26F5C"/>
              </a:gs>
            </a:gsLst>
            <a:lin ang="108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95351" y="133351"/>
            <a:ext cx="1209674" cy="647700"/>
          </a:xfrm>
          <a:prstGeom prst="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>
            <a:noFill/>
          </a:ln>
        </xdr:spPr>
      </xdr:pic>
    </xdr:grpSp>
    <xdr:clientData/>
  </xdr:twoCellAnchor>
  <xdr:twoCellAnchor>
    <xdr:from>
      <xdr:col>3</xdr:col>
      <xdr:colOff>333375</xdr:colOff>
      <xdr:row>0</xdr:row>
      <xdr:rowOff>9525</xdr:rowOff>
    </xdr:from>
    <xdr:to>
      <xdr:col>5</xdr:col>
      <xdr:colOff>257175</xdr:colOff>
      <xdr:row>0</xdr:row>
      <xdr:rowOff>847725</xdr:rowOff>
    </xdr:to>
    <xdr:grpSp>
      <xdr:nvGrpSpPr>
        <xdr:cNvPr id="29" name="Agrupar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2162175" y="9525"/>
          <a:ext cx="1143000" cy="838200"/>
          <a:chOff x="2162175" y="9525"/>
          <a:chExt cx="1143000" cy="8382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162175" y="9525"/>
            <a:ext cx="1143000" cy="83820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3175" y="99060"/>
            <a:ext cx="428625" cy="447675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2343150" y="626322"/>
            <a:ext cx="885825" cy="159173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Início</a:t>
            </a:r>
          </a:p>
        </xdr:txBody>
      </xdr:sp>
    </xdr:grpSp>
    <xdr:clientData/>
  </xdr:twoCellAnchor>
  <xdr:twoCellAnchor>
    <xdr:from>
      <xdr:col>7</xdr:col>
      <xdr:colOff>180975</xdr:colOff>
      <xdr:row>0</xdr:row>
      <xdr:rowOff>9525</xdr:rowOff>
    </xdr:from>
    <xdr:to>
      <xdr:col>9</xdr:col>
      <xdr:colOff>142874</xdr:colOff>
      <xdr:row>1</xdr:row>
      <xdr:rowOff>0</xdr:rowOff>
    </xdr:to>
    <xdr:grpSp>
      <xdr:nvGrpSpPr>
        <xdr:cNvPr id="13" name="Agrupar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48175" y="9525"/>
          <a:ext cx="1181099" cy="857250"/>
          <a:chOff x="4448175" y="9525"/>
          <a:chExt cx="1181099" cy="857250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448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619625" y="581025"/>
            <a:ext cx="1009649" cy="238125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Estoque</a:t>
            </a: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8225" y="666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114300</xdr:colOff>
      <xdr:row>0</xdr:row>
      <xdr:rowOff>0</xdr:rowOff>
    </xdr:from>
    <xdr:to>
      <xdr:col>11</xdr:col>
      <xdr:colOff>38100</xdr:colOff>
      <xdr:row>0</xdr:row>
      <xdr:rowOff>857250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600700" y="0"/>
          <a:ext cx="1143000" cy="857250"/>
        </a:xfrm>
        <a:prstGeom prst="rect">
          <a:avLst/>
        </a:prstGeom>
        <a:solidFill>
          <a:srgbClr val="FF80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66675</xdr:colOff>
      <xdr:row>0</xdr:row>
      <xdr:rowOff>95250</xdr:rowOff>
    </xdr:from>
    <xdr:to>
      <xdr:col>11</xdr:col>
      <xdr:colOff>247650</xdr:colOff>
      <xdr:row>0</xdr:row>
      <xdr:rowOff>819150</xdr:rowOff>
    </xdr:to>
    <xdr:grpSp>
      <xdr:nvGrpSpPr>
        <xdr:cNvPr id="5" name="Agrupar 4">
          <a:hlinkClick xmlns:r="http://schemas.openxmlformats.org/officeDocument/2006/relationships" r:id="rId9"/>
        </xdr:cNvPr>
        <xdr:cNvGrpSpPr/>
      </xdr:nvGrpSpPr>
      <xdr:grpSpPr>
        <a:xfrm>
          <a:off x="5553075" y="95250"/>
          <a:ext cx="1400175" cy="723900"/>
          <a:chOff x="5553075" y="95250"/>
          <a:chExt cx="1400175" cy="723900"/>
        </a:xfrm>
      </xdr:grpSpPr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 txBox="1"/>
        </xdr:nvSpPr>
        <xdr:spPr>
          <a:xfrm>
            <a:off x="5553075" y="581025"/>
            <a:ext cx="1400175" cy="238125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Dashboard</a:t>
            </a:r>
            <a:endParaRPr lang="pt-BR" sz="1400">
              <a:solidFill>
                <a:srgbClr val="FFFFFF"/>
              </a:solidFill>
              <a:latin typeface="Open sans"/>
            </a:endParaRP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91225" y="95250"/>
            <a:ext cx="447675" cy="44767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0</xdr:row>
      <xdr:rowOff>9525</xdr:rowOff>
    </xdr:from>
    <xdr:to>
      <xdr:col>7</xdr:col>
      <xdr:colOff>219075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343275" y="9525"/>
          <a:ext cx="1143000" cy="857250"/>
          <a:chOff x="3333750" y="9525"/>
          <a:chExt cx="1143000" cy="85725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3333750" y="9525"/>
            <a:ext cx="1143000" cy="857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486150" y="600075"/>
            <a:ext cx="923925" cy="15240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8033"/>
                </a:solidFill>
                <a:latin typeface="Open sans"/>
              </a:rPr>
              <a:t>Clientes</a:t>
            </a: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57600" y="85725"/>
            <a:ext cx="485775" cy="4857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257176</xdr:colOff>
      <xdr:row>1</xdr:row>
      <xdr:rowOff>47625</xdr:rowOff>
    </xdr:from>
    <xdr:to>
      <xdr:col>2</xdr:col>
      <xdr:colOff>104776</xdr:colOff>
      <xdr:row>1</xdr:row>
      <xdr:rowOff>428625</xdr:rowOff>
    </xdr:to>
    <xdr:sp macro="" textlink="">
      <xdr:nvSpPr>
        <xdr:cNvPr id="33" name="CaixaDeText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257176" y="914400"/>
          <a:ext cx="1066800" cy="381000"/>
        </a:xfrm>
        <a:prstGeom prst="rect">
          <a:avLst/>
        </a:prstGeom>
        <a:gradFill flip="none" rotWithShape="1">
          <a:gsLst>
            <a:gs pos="0">
              <a:srgbClr val="FF8033"/>
            </a:gs>
            <a:gs pos="90000">
              <a:srgbClr val="F26F5C"/>
            </a:gs>
            <a:gs pos="81000">
              <a:srgbClr val="F26F5C"/>
            </a:gs>
            <a:gs pos="100000">
              <a:srgbClr val="F26F5C"/>
            </a:gs>
          </a:gsLst>
          <a:path path="circle">
            <a:fillToRect l="100000" t="100000"/>
          </a:path>
          <a:tileRect r="-100000" b="-100000"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Open sans"/>
            </a:rPr>
            <a:t>Formulário</a:t>
          </a:r>
        </a:p>
      </xdr:txBody>
    </xdr:sp>
    <xdr:clientData/>
  </xdr:twoCellAnchor>
  <xdr:twoCellAnchor>
    <xdr:from>
      <xdr:col>2</xdr:col>
      <xdr:colOff>257176</xdr:colOff>
      <xdr:row>1</xdr:row>
      <xdr:rowOff>47625</xdr:rowOff>
    </xdr:from>
    <xdr:to>
      <xdr:col>4</xdr:col>
      <xdr:colOff>104776</xdr:colOff>
      <xdr:row>1</xdr:row>
      <xdr:rowOff>428625</xdr:rowOff>
    </xdr:to>
    <xdr:sp macro="" textlink="">
      <xdr:nvSpPr>
        <xdr:cNvPr id="34" name="CaixaDeTexto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1476376" y="914400"/>
          <a:ext cx="1066800" cy="381000"/>
        </a:xfrm>
        <a:prstGeom prst="rect">
          <a:avLst/>
        </a:prstGeom>
        <a:gradFill flip="none" rotWithShape="1">
          <a:gsLst>
            <a:gs pos="0">
              <a:srgbClr val="FF8033"/>
            </a:gs>
            <a:gs pos="90000">
              <a:srgbClr val="F26F5C"/>
            </a:gs>
            <a:gs pos="81000">
              <a:srgbClr val="F26F5C"/>
            </a:gs>
            <a:gs pos="100000">
              <a:srgbClr val="F26F5C"/>
            </a:gs>
          </a:gsLst>
          <a:path path="circle">
            <a:fillToRect l="100000" t="100000"/>
          </a:path>
          <a:tileRect r="-100000" b="-100000"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Open sans"/>
            </a:rPr>
            <a:t>Agenda</a:t>
          </a:r>
          <a:r>
            <a:rPr lang="pt-BR" sz="1400" baseline="0">
              <a:solidFill>
                <a:srgbClr val="FFFFFF"/>
              </a:solidFill>
              <a:latin typeface="Open sans"/>
            </a:rPr>
            <a:t> </a:t>
          </a:r>
          <a:endParaRPr lang="pt-BR" sz="1400">
            <a:solidFill>
              <a:srgbClr val="FFFFFF"/>
            </a:solidFill>
            <a:latin typeface="Open sans"/>
          </a:endParaRPr>
        </a:p>
      </xdr:txBody>
    </xdr:sp>
    <xdr:clientData/>
  </xdr:twoCellAnchor>
  <xdr:twoCellAnchor editAs="oneCell">
    <xdr:from>
      <xdr:col>0</xdr:col>
      <xdr:colOff>0</xdr:colOff>
      <xdr:row>35</xdr:row>
      <xdr:rowOff>114300</xdr:rowOff>
    </xdr:from>
    <xdr:to>
      <xdr:col>6</xdr:col>
      <xdr:colOff>199599</xdr:colOff>
      <xdr:row>39</xdr:row>
      <xdr:rowOff>152400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67650"/>
          <a:ext cx="3857199" cy="800100"/>
        </a:xfrm>
        <a:prstGeom prst="rect">
          <a:avLst/>
        </a:prstGeom>
      </xdr:spPr>
    </xdr:pic>
    <xdr:clientData/>
  </xdr:twoCellAnchor>
  <xdr:twoCellAnchor editAs="oneCell">
    <xdr:from>
      <xdr:col>14</xdr:col>
      <xdr:colOff>542926</xdr:colOff>
      <xdr:row>14</xdr:row>
      <xdr:rowOff>9525</xdr:rowOff>
    </xdr:from>
    <xdr:to>
      <xdr:col>25</xdr:col>
      <xdr:colOff>85725</xdr:colOff>
      <xdr:row>22</xdr:row>
      <xdr:rowOff>93076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077326" y="3762375"/>
          <a:ext cx="6248399" cy="1607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4</xdr:col>
      <xdr:colOff>9525</xdr:colOff>
      <xdr:row>0</xdr:row>
      <xdr:rowOff>857250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9525"/>
          <a:ext cx="2590800" cy="847725"/>
          <a:chOff x="0" y="9525"/>
          <a:chExt cx="2790824" cy="8477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0" y="9525"/>
            <a:ext cx="2790824" cy="847725"/>
          </a:xfrm>
          <a:prstGeom prst="rect">
            <a:avLst/>
          </a:prstGeom>
          <a:gradFill flip="none" rotWithShape="1">
            <a:gsLst>
              <a:gs pos="69000">
                <a:srgbClr val="FF8033"/>
              </a:gs>
              <a:gs pos="90000">
                <a:srgbClr val="F26F5C"/>
              </a:gs>
              <a:gs pos="84000">
                <a:srgbClr val="F26F5C"/>
              </a:gs>
              <a:gs pos="100000">
                <a:srgbClr val="F26F5C"/>
              </a:gs>
            </a:gsLst>
            <a:lin ang="108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95351" y="133351"/>
            <a:ext cx="1209674" cy="647700"/>
          </a:xfrm>
          <a:prstGeom prst="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>
            <a:noFill/>
          </a:ln>
        </xdr:spPr>
      </xdr:pic>
    </xdr:grpSp>
    <xdr:clientData/>
  </xdr:twoCellAnchor>
  <xdr:twoCellAnchor>
    <xdr:from>
      <xdr:col>3</xdr:col>
      <xdr:colOff>333375</xdr:colOff>
      <xdr:row>0</xdr:row>
      <xdr:rowOff>9525</xdr:rowOff>
    </xdr:from>
    <xdr:to>
      <xdr:col>5</xdr:col>
      <xdr:colOff>257175</xdr:colOff>
      <xdr:row>0</xdr:row>
      <xdr:rowOff>847725</xdr:rowOff>
    </xdr:to>
    <xdr:grpSp>
      <xdr:nvGrpSpPr>
        <xdr:cNvPr id="5" name="Agrupar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2305050" y="9525"/>
          <a:ext cx="1143000" cy="838200"/>
          <a:chOff x="2162175" y="9525"/>
          <a:chExt cx="1143000" cy="8382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2162175" y="9525"/>
            <a:ext cx="1143000" cy="83820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3175" y="99060"/>
            <a:ext cx="428625" cy="447675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2343150" y="626322"/>
            <a:ext cx="885825" cy="159173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Início</a:t>
            </a:r>
          </a:p>
        </xdr:txBody>
      </xdr:sp>
    </xdr:grpSp>
    <xdr:clientData/>
  </xdr:twoCellAnchor>
  <xdr:twoCellAnchor>
    <xdr:from>
      <xdr:col>7</xdr:col>
      <xdr:colOff>180975</xdr:colOff>
      <xdr:row>0</xdr:row>
      <xdr:rowOff>9525</xdr:rowOff>
    </xdr:from>
    <xdr:to>
      <xdr:col>9</xdr:col>
      <xdr:colOff>142874</xdr:colOff>
      <xdr:row>1</xdr:row>
      <xdr:rowOff>0</xdr:rowOff>
    </xdr:to>
    <xdr:grpSp>
      <xdr:nvGrpSpPr>
        <xdr:cNvPr id="9" name="Agrupar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95800" y="9525"/>
          <a:ext cx="1181099" cy="857250"/>
          <a:chOff x="4448175" y="9525"/>
          <a:chExt cx="1181099" cy="85725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448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619625" y="581025"/>
            <a:ext cx="1009649" cy="238125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Estoque</a:t>
            </a: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8225" y="666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159543</xdr:colOff>
      <xdr:row>0</xdr:row>
      <xdr:rowOff>0</xdr:rowOff>
    </xdr:from>
    <xdr:to>
      <xdr:col>11</xdr:col>
      <xdr:colOff>340519</xdr:colOff>
      <xdr:row>0</xdr:row>
      <xdr:rowOff>857250</xdr:rowOff>
    </xdr:to>
    <xdr:grpSp>
      <xdr:nvGrpSpPr>
        <xdr:cNvPr id="27" name="Agrupar 26">
          <a:hlinkClick xmlns:r="http://schemas.openxmlformats.org/officeDocument/2006/relationships" r:id="rId9"/>
        </xdr:cNvPr>
        <xdr:cNvGrpSpPr/>
      </xdr:nvGrpSpPr>
      <xdr:grpSpPr>
        <a:xfrm>
          <a:off x="5693568" y="0"/>
          <a:ext cx="1400176" cy="857250"/>
          <a:chOff x="5672137" y="0"/>
          <a:chExt cx="1395413" cy="8572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776912" y="0"/>
            <a:ext cx="1138238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5672137" y="566737"/>
            <a:ext cx="1395413" cy="238125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Dashboard</a:t>
            </a:r>
            <a:endParaRPr lang="pt-BR" sz="1400">
              <a:solidFill>
                <a:srgbClr val="FFFFFF"/>
              </a:solidFill>
              <a:latin typeface="Open sans"/>
            </a:endParaRP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3150" y="116680"/>
            <a:ext cx="447675" cy="44767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0</xdr:row>
      <xdr:rowOff>9525</xdr:rowOff>
    </xdr:from>
    <xdr:to>
      <xdr:col>7</xdr:col>
      <xdr:colOff>219075</xdr:colOff>
      <xdr:row>1</xdr:row>
      <xdr:rowOff>0</xdr:rowOff>
    </xdr:to>
    <xdr:grpSp>
      <xdr:nvGrpSpPr>
        <xdr:cNvPr id="20" name="Agrupar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3486150" y="9525"/>
          <a:ext cx="1047750" cy="857250"/>
          <a:chOff x="3333750" y="9525"/>
          <a:chExt cx="1143000" cy="857250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3333750" y="9525"/>
            <a:ext cx="1143000" cy="857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3486150" y="600075"/>
            <a:ext cx="923925" cy="15240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8033"/>
                </a:solidFill>
                <a:latin typeface="Open sans"/>
              </a:rPr>
              <a:t>Clientes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57600" y="85725"/>
            <a:ext cx="485775" cy="4857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257176</xdr:colOff>
      <xdr:row>1</xdr:row>
      <xdr:rowOff>47625</xdr:rowOff>
    </xdr:from>
    <xdr:to>
      <xdr:col>2</xdr:col>
      <xdr:colOff>104776</xdr:colOff>
      <xdr:row>1</xdr:row>
      <xdr:rowOff>428625</xdr:rowOff>
    </xdr:to>
    <xdr:sp macro="" textlink="">
      <xdr:nvSpPr>
        <xdr:cNvPr id="25" name="CaixaDeText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257176" y="914400"/>
          <a:ext cx="1066800" cy="381000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rgbClr val="F26F5C"/>
              </a:solidFill>
              <a:latin typeface="Open sans"/>
            </a:rPr>
            <a:t>Formulário</a:t>
          </a:r>
        </a:p>
      </xdr:txBody>
    </xdr:sp>
    <xdr:clientData/>
  </xdr:twoCellAnchor>
  <xdr:twoCellAnchor>
    <xdr:from>
      <xdr:col>2</xdr:col>
      <xdr:colOff>257176</xdr:colOff>
      <xdr:row>1</xdr:row>
      <xdr:rowOff>47625</xdr:rowOff>
    </xdr:from>
    <xdr:to>
      <xdr:col>4</xdr:col>
      <xdr:colOff>104776</xdr:colOff>
      <xdr:row>1</xdr:row>
      <xdr:rowOff>428625</xdr:rowOff>
    </xdr:to>
    <xdr:sp macro="" textlink="">
      <xdr:nvSpPr>
        <xdr:cNvPr id="26" name="CaixaDeTexto 2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1476376" y="914400"/>
          <a:ext cx="1066800" cy="381000"/>
        </a:xfrm>
        <a:prstGeom prst="rect">
          <a:avLst/>
        </a:prstGeom>
        <a:gradFill flip="none" rotWithShape="1">
          <a:gsLst>
            <a:gs pos="0">
              <a:srgbClr val="FF8033"/>
            </a:gs>
            <a:gs pos="90000">
              <a:srgbClr val="F26F5C"/>
            </a:gs>
            <a:gs pos="81000">
              <a:srgbClr val="F26F5C"/>
            </a:gs>
            <a:gs pos="100000">
              <a:srgbClr val="F26F5C"/>
            </a:gs>
          </a:gsLst>
          <a:path path="circle">
            <a:fillToRect l="100000" t="100000"/>
          </a:path>
          <a:tileRect r="-100000" b="-100000"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Open sans"/>
            </a:rPr>
            <a:t>Agenda</a:t>
          </a:r>
          <a:r>
            <a:rPr lang="pt-BR" sz="1400" baseline="0">
              <a:solidFill>
                <a:srgbClr val="FFFFFF"/>
              </a:solidFill>
              <a:latin typeface="Open sans"/>
            </a:rPr>
            <a:t> </a:t>
          </a:r>
          <a:endParaRPr lang="pt-BR" sz="1400">
            <a:solidFill>
              <a:srgbClr val="FFFFFF"/>
            </a:solidFill>
            <a:latin typeface="Open sans"/>
          </a:endParaRPr>
        </a:p>
      </xdr:txBody>
    </xdr:sp>
    <xdr:clientData/>
  </xdr:twoCellAnchor>
  <xdr:twoCellAnchor>
    <xdr:from>
      <xdr:col>15</xdr:col>
      <xdr:colOff>38100</xdr:colOff>
      <xdr:row>21</xdr:row>
      <xdr:rowOff>123825</xdr:rowOff>
    </xdr:from>
    <xdr:to>
      <xdr:col>17</xdr:col>
      <xdr:colOff>47625</xdr:colOff>
      <xdr:row>24</xdr:row>
      <xdr:rowOff>85725</xdr:rowOff>
    </xdr:to>
    <xdr:sp macro="[0]!LIMPA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2476500" y="3381375"/>
          <a:ext cx="1228725" cy="533400"/>
        </a:xfrm>
        <a:prstGeom prst="rect">
          <a:avLst/>
        </a:prstGeom>
        <a:gradFill>
          <a:gsLst>
            <a:gs pos="35000">
              <a:srgbClr val="F26F5C"/>
            </a:gs>
            <a:gs pos="100000">
              <a:srgbClr val="FF8033"/>
            </a:gs>
            <a:gs pos="100000">
              <a:srgbClr val="FF8033"/>
            </a:gs>
            <a:gs pos="100000">
              <a:srgbClr val="FF8033"/>
            </a:gs>
          </a:gsLst>
          <a:lin ang="0" scaled="1"/>
        </a:gradFill>
        <a:ln w="9525" cap="rnd" cmpd="sng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7F3001"/>
              </a:solidFill>
              <a:latin typeface="Open sans"/>
            </a:rPr>
            <a:t>LIMPAR</a:t>
          </a:r>
        </a:p>
      </xdr:txBody>
    </xdr:sp>
    <xdr:clientData/>
  </xdr:twoCellAnchor>
  <xdr:twoCellAnchor>
    <xdr:from>
      <xdr:col>18</xdr:col>
      <xdr:colOff>85725</xdr:colOff>
      <xdr:row>21</xdr:row>
      <xdr:rowOff>152400</xdr:rowOff>
    </xdr:from>
    <xdr:to>
      <xdr:col>20</xdr:col>
      <xdr:colOff>95250</xdr:colOff>
      <xdr:row>24</xdr:row>
      <xdr:rowOff>114300</xdr:rowOff>
    </xdr:to>
    <xdr:sp macro="[0]!SALVAR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4352925" y="3409950"/>
          <a:ext cx="1228725" cy="533400"/>
        </a:xfrm>
        <a:prstGeom prst="rect">
          <a:avLst/>
        </a:prstGeom>
        <a:gradFill>
          <a:gsLst>
            <a:gs pos="35000">
              <a:srgbClr val="F26F5C"/>
            </a:gs>
            <a:gs pos="100000">
              <a:srgbClr val="FF8033"/>
            </a:gs>
            <a:gs pos="100000">
              <a:srgbClr val="FF8033"/>
            </a:gs>
            <a:gs pos="100000">
              <a:srgbClr val="FF8033"/>
            </a:gs>
          </a:gsLst>
          <a:lin ang="0" scaled="1"/>
        </a:gradFill>
        <a:ln w="9525" cap="rnd" cmpd="sng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7F3001"/>
              </a:solidFill>
              <a:latin typeface="Open sans"/>
            </a:rPr>
            <a:t>SALVAR</a:t>
          </a:r>
        </a:p>
      </xdr:txBody>
    </xdr:sp>
    <xdr:clientData/>
  </xdr:twoCellAnchor>
  <xdr:twoCellAnchor editAs="oneCell">
    <xdr:from>
      <xdr:col>28</xdr:col>
      <xdr:colOff>190501</xdr:colOff>
      <xdr:row>1</xdr:row>
      <xdr:rowOff>488155</xdr:rowOff>
    </xdr:from>
    <xdr:to>
      <xdr:col>30</xdr:col>
      <xdr:colOff>1984166</xdr:colOff>
      <xdr:row>5</xdr:row>
      <xdr:rowOff>178593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240251" y="1357311"/>
          <a:ext cx="3008103" cy="7739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476250</xdr:rowOff>
    </xdr:from>
    <xdr:to>
      <xdr:col>12</xdr:col>
      <xdr:colOff>380764</xdr:colOff>
      <xdr:row>41</xdr:row>
      <xdr:rowOff>95250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45406"/>
          <a:ext cx="7715014" cy="7881938"/>
        </a:xfrm>
        <a:prstGeom prst="rect">
          <a:avLst/>
        </a:prstGeom>
      </xdr:spPr>
    </xdr:pic>
    <xdr:clientData/>
  </xdr:twoCellAnchor>
  <xdr:twoCellAnchor editAs="oneCell">
    <xdr:from>
      <xdr:col>3</xdr:col>
      <xdr:colOff>35720</xdr:colOff>
      <xdr:row>29</xdr:row>
      <xdr:rowOff>1</xdr:rowOff>
    </xdr:from>
    <xdr:to>
      <xdr:col>9</xdr:col>
      <xdr:colOff>344856</xdr:colOff>
      <xdr:row>33</xdr:row>
      <xdr:rowOff>38101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6846095"/>
          <a:ext cx="3857199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4</xdr:col>
      <xdr:colOff>9525</xdr:colOff>
      <xdr:row>0</xdr:row>
      <xdr:rowOff>857250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9525"/>
          <a:ext cx="2447925" cy="847725"/>
          <a:chOff x="0" y="9525"/>
          <a:chExt cx="2790824" cy="8477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0" y="9525"/>
            <a:ext cx="2790824" cy="847725"/>
          </a:xfrm>
          <a:prstGeom prst="rect">
            <a:avLst/>
          </a:prstGeom>
          <a:gradFill flip="none" rotWithShape="1">
            <a:gsLst>
              <a:gs pos="69000">
                <a:srgbClr val="FF8033"/>
              </a:gs>
              <a:gs pos="90000">
                <a:srgbClr val="F26F5C"/>
              </a:gs>
              <a:gs pos="84000">
                <a:srgbClr val="F26F5C"/>
              </a:gs>
              <a:gs pos="100000">
                <a:srgbClr val="F26F5C"/>
              </a:gs>
            </a:gsLst>
            <a:lin ang="108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95351" y="133351"/>
            <a:ext cx="1209674" cy="647700"/>
          </a:xfrm>
          <a:prstGeom prst="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>
            <a:noFill/>
          </a:ln>
        </xdr:spPr>
      </xdr:pic>
    </xdr:grpSp>
    <xdr:clientData/>
  </xdr:twoCellAnchor>
  <xdr:twoCellAnchor>
    <xdr:from>
      <xdr:col>3</xdr:col>
      <xdr:colOff>333375</xdr:colOff>
      <xdr:row>0</xdr:row>
      <xdr:rowOff>9525</xdr:rowOff>
    </xdr:from>
    <xdr:to>
      <xdr:col>5</xdr:col>
      <xdr:colOff>257175</xdr:colOff>
      <xdr:row>0</xdr:row>
      <xdr:rowOff>847725</xdr:rowOff>
    </xdr:to>
    <xdr:grpSp>
      <xdr:nvGrpSpPr>
        <xdr:cNvPr id="5" name="Agrupar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2162175" y="9525"/>
          <a:ext cx="1143000" cy="838200"/>
          <a:chOff x="2162175" y="9525"/>
          <a:chExt cx="1143000" cy="8382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162175" y="9525"/>
            <a:ext cx="1143000" cy="83820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3175" y="99060"/>
            <a:ext cx="428625" cy="447675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2343150" y="626322"/>
            <a:ext cx="885825" cy="159173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Início</a:t>
            </a:r>
          </a:p>
        </xdr:txBody>
      </xdr:sp>
    </xdr:grpSp>
    <xdr:clientData/>
  </xdr:twoCellAnchor>
  <xdr:twoCellAnchor>
    <xdr:from>
      <xdr:col>7</xdr:col>
      <xdr:colOff>180975</xdr:colOff>
      <xdr:row>0</xdr:row>
      <xdr:rowOff>9525</xdr:rowOff>
    </xdr:from>
    <xdr:to>
      <xdr:col>9</xdr:col>
      <xdr:colOff>142874</xdr:colOff>
      <xdr:row>1</xdr:row>
      <xdr:rowOff>0</xdr:rowOff>
    </xdr:to>
    <xdr:grpSp>
      <xdr:nvGrpSpPr>
        <xdr:cNvPr id="9" name="Agrupar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448175" y="9525"/>
          <a:ext cx="1181099" cy="857250"/>
          <a:chOff x="4448175" y="9525"/>
          <a:chExt cx="1181099" cy="85725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448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4619625" y="581025"/>
            <a:ext cx="1009649" cy="238125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Estoque</a:t>
            </a: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8225" y="666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142875</xdr:colOff>
      <xdr:row>0</xdr:row>
      <xdr:rowOff>0</xdr:rowOff>
    </xdr:from>
    <xdr:to>
      <xdr:col>11</xdr:col>
      <xdr:colOff>28575</xdr:colOff>
      <xdr:row>0</xdr:row>
      <xdr:rowOff>857250</xdr:rowOff>
    </xdr:to>
    <xdr:grpSp>
      <xdr:nvGrpSpPr>
        <xdr:cNvPr id="27" name="Agrupar 26">
          <a:hlinkClick xmlns:r="http://schemas.openxmlformats.org/officeDocument/2006/relationships" r:id="rId9"/>
        </xdr:cNvPr>
        <xdr:cNvGrpSpPr/>
      </xdr:nvGrpSpPr>
      <xdr:grpSpPr>
        <a:xfrm>
          <a:off x="5629275" y="0"/>
          <a:ext cx="1400175" cy="857250"/>
          <a:chOff x="5629275" y="0"/>
          <a:chExt cx="1400175" cy="8572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762625" y="0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" name="Agrupar 23"/>
          <xdr:cNvGrpSpPr/>
        </xdr:nvGrpSpPr>
        <xdr:grpSpPr>
          <a:xfrm>
            <a:off x="5629275" y="114300"/>
            <a:ext cx="1400175" cy="714375"/>
            <a:chOff x="5629275" y="114300"/>
            <a:chExt cx="1400175" cy="714375"/>
          </a:xfrm>
        </xdr:grpSpPr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5629275" y="590550"/>
              <a:ext cx="1400175" cy="238125"/>
            </a:xfrm>
            <a:prstGeom prst="rect">
              <a:avLst/>
            </a:prstGeom>
            <a:solidFill>
              <a:srgbClr val="FF8033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600">
                  <a:solidFill>
                    <a:srgbClr val="FFFFFF"/>
                  </a:solidFill>
                  <a:latin typeface="Open sans"/>
                </a:rPr>
                <a:t>Dashboard</a:t>
              </a:r>
              <a:endParaRPr lang="pt-BR" sz="1400">
                <a:solidFill>
                  <a:srgbClr val="FFFFFF"/>
                </a:solidFill>
                <a:latin typeface="Open sans"/>
              </a:endParaRPr>
            </a:p>
          </xdr:txBody>
        </xdr:sp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048375" y="114300"/>
              <a:ext cx="447675" cy="4476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295275</xdr:colOff>
      <xdr:row>0</xdr:row>
      <xdr:rowOff>9525</xdr:rowOff>
    </xdr:from>
    <xdr:to>
      <xdr:col>7</xdr:col>
      <xdr:colOff>219075</xdr:colOff>
      <xdr:row>1</xdr:row>
      <xdr:rowOff>0</xdr:rowOff>
    </xdr:to>
    <xdr:grpSp>
      <xdr:nvGrpSpPr>
        <xdr:cNvPr id="20" name="Agrupar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3343275" y="9525"/>
          <a:ext cx="1143000" cy="857250"/>
          <a:chOff x="3333750" y="9525"/>
          <a:chExt cx="1143000" cy="857250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333750" y="9525"/>
            <a:ext cx="1143000" cy="857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3486150" y="600075"/>
            <a:ext cx="923925" cy="15240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8033"/>
                </a:solidFill>
                <a:latin typeface="Open sans"/>
              </a:rPr>
              <a:t>Clientes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57600" y="85725"/>
            <a:ext cx="485775" cy="4857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257176</xdr:colOff>
      <xdr:row>1</xdr:row>
      <xdr:rowOff>47625</xdr:rowOff>
    </xdr:from>
    <xdr:to>
      <xdr:col>2</xdr:col>
      <xdr:colOff>104776</xdr:colOff>
      <xdr:row>1</xdr:row>
      <xdr:rowOff>428625</xdr:rowOff>
    </xdr:to>
    <xdr:sp macro="" textlink="">
      <xdr:nvSpPr>
        <xdr:cNvPr id="25" name="CaixaDeText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257176" y="914400"/>
          <a:ext cx="1066800" cy="381000"/>
        </a:xfrm>
        <a:prstGeom prst="rect">
          <a:avLst/>
        </a:prstGeom>
        <a:gradFill>
          <a:gsLst>
            <a:gs pos="0">
              <a:srgbClr val="FF8033"/>
            </a:gs>
            <a:gs pos="90000">
              <a:srgbClr val="F26F5C"/>
            </a:gs>
            <a:gs pos="81000">
              <a:srgbClr val="F26F5C"/>
            </a:gs>
            <a:gs pos="100000">
              <a:srgbClr val="F26F5C"/>
            </a:gs>
          </a:gsLst>
          <a:path path="circle">
            <a:fillToRect l="100000" t="100000"/>
          </a:path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Open sans"/>
            </a:rPr>
            <a:t>Formulário</a:t>
          </a:r>
        </a:p>
      </xdr:txBody>
    </xdr:sp>
    <xdr:clientData/>
  </xdr:twoCellAnchor>
  <xdr:twoCellAnchor>
    <xdr:from>
      <xdr:col>2</xdr:col>
      <xdr:colOff>257176</xdr:colOff>
      <xdr:row>1</xdr:row>
      <xdr:rowOff>47625</xdr:rowOff>
    </xdr:from>
    <xdr:to>
      <xdr:col>4</xdr:col>
      <xdr:colOff>104776</xdr:colOff>
      <xdr:row>1</xdr:row>
      <xdr:rowOff>428625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1476376" y="914400"/>
          <a:ext cx="1066800" cy="381000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rgbClr val="F26F5C"/>
              </a:solidFill>
              <a:latin typeface="Open sans"/>
            </a:rPr>
            <a:t>Agenda</a:t>
          </a:r>
          <a:r>
            <a:rPr lang="pt-BR" sz="1400" baseline="0">
              <a:solidFill>
                <a:srgbClr val="FFFFFF"/>
              </a:solidFill>
              <a:latin typeface="Open sans"/>
            </a:rPr>
            <a:t> </a:t>
          </a:r>
          <a:endParaRPr lang="pt-BR" sz="1400">
            <a:solidFill>
              <a:srgbClr val="FFFFFF"/>
            </a:solidFill>
            <a:latin typeface="Open san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19</xdr:row>
          <xdr:rowOff>28575</xdr:rowOff>
        </xdr:from>
        <xdr:to>
          <xdr:col>3</xdr:col>
          <xdr:colOff>409575</xdr:colOff>
          <xdr:row>20</xdr:row>
          <xdr:rowOff>190500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19</xdr:row>
          <xdr:rowOff>19050</xdr:rowOff>
        </xdr:from>
        <xdr:to>
          <xdr:col>6</xdr:col>
          <xdr:colOff>419100</xdr:colOff>
          <xdr:row>20</xdr:row>
          <xdr:rowOff>171450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34</xdr:row>
      <xdr:rowOff>57150</xdr:rowOff>
    </xdr:from>
    <xdr:to>
      <xdr:col>6</xdr:col>
      <xdr:colOff>199599</xdr:colOff>
      <xdr:row>38</xdr:row>
      <xdr:rowOff>95250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86800"/>
          <a:ext cx="3857199" cy="800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4</xdr:col>
      <xdr:colOff>9525</xdr:colOff>
      <xdr:row>0</xdr:row>
      <xdr:rowOff>857250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0" y="9525"/>
          <a:ext cx="2447925" cy="847725"/>
          <a:chOff x="0" y="9525"/>
          <a:chExt cx="2790824" cy="8477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0" y="9525"/>
            <a:ext cx="2790824" cy="847725"/>
          </a:xfrm>
          <a:prstGeom prst="rect">
            <a:avLst/>
          </a:prstGeom>
          <a:gradFill flip="none" rotWithShape="1">
            <a:gsLst>
              <a:gs pos="69000">
                <a:srgbClr val="FF8033"/>
              </a:gs>
              <a:gs pos="90000">
                <a:srgbClr val="F26F5C"/>
              </a:gs>
              <a:gs pos="84000">
                <a:srgbClr val="F26F5C"/>
              </a:gs>
              <a:gs pos="100000">
                <a:srgbClr val="F26F5C"/>
              </a:gs>
            </a:gsLst>
            <a:lin ang="108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95351" y="133351"/>
            <a:ext cx="1209674" cy="647700"/>
          </a:xfrm>
          <a:prstGeom prst="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>
            <a:noFill/>
          </a:ln>
        </xdr:spPr>
      </xdr:pic>
    </xdr:grpSp>
    <xdr:clientData/>
  </xdr:twoCellAnchor>
  <xdr:twoCellAnchor>
    <xdr:from>
      <xdr:col>3</xdr:col>
      <xdr:colOff>333375</xdr:colOff>
      <xdr:row>0</xdr:row>
      <xdr:rowOff>9525</xdr:rowOff>
    </xdr:from>
    <xdr:to>
      <xdr:col>5</xdr:col>
      <xdr:colOff>257175</xdr:colOff>
      <xdr:row>1</xdr:row>
      <xdr:rowOff>0</xdr:rowOff>
    </xdr:to>
    <xdr:grpSp>
      <xdr:nvGrpSpPr>
        <xdr:cNvPr id="27" name="Agrupar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2162175" y="9525"/>
          <a:ext cx="1143000" cy="857250"/>
          <a:chOff x="2162175" y="9525"/>
          <a:chExt cx="1143000" cy="857250"/>
        </a:xfrm>
      </xdr:grpSpPr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2162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3175" y="95250"/>
            <a:ext cx="428625" cy="428625"/>
          </a:xfrm>
          <a:prstGeom prst="rect">
            <a:avLst/>
          </a:prstGeom>
          <a:solidFill>
            <a:srgbClr val="FF8033"/>
          </a:solidFill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2343150" y="600075"/>
            <a:ext cx="885825" cy="152400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chemeClr val="bg1"/>
                </a:solidFill>
                <a:latin typeface="Open sans"/>
              </a:rPr>
              <a:t>Início</a:t>
            </a:r>
          </a:p>
        </xdr:txBody>
      </xdr:sp>
    </xdr:grpSp>
    <xdr:clientData/>
  </xdr:twoCellAnchor>
  <xdr:twoCellAnchor>
    <xdr:from>
      <xdr:col>5</xdr:col>
      <xdr:colOff>257175</xdr:colOff>
      <xdr:row>0</xdr:row>
      <xdr:rowOff>9525</xdr:rowOff>
    </xdr:from>
    <xdr:to>
      <xdr:col>7</xdr:col>
      <xdr:colOff>180975</xdr:colOff>
      <xdr:row>1</xdr:row>
      <xdr:rowOff>0</xdr:rowOff>
    </xdr:to>
    <xdr:grpSp>
      <xdr:nvGrpSpPr>
        <xdr:cNvPr id="9" name="Agrupar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3305175" y="9525"/>
          <a:ext cx="1143000" cy="857250"/>
          <a:chOff x="3305175" y="9525"/>
          <a:chExt cx="1143000" cy="85725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305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>
            <a:off x="3486150" y="600075"/>
            <a:ext cx="923925" cy="152400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Clientes</a:t>
            </a: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57600" y="85725"/>
            <a:ext cx="485775" cy="48577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0</xdr:row>
      <xdr:rowOff>9525</xdr:rowOff>
    </xdr:from>
    <xdr:to>
      <xdr:col>9</xdr:col>
      <xdr:colOff>104775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4448175" y="9525"/>
          <a:ext cx="1143000" cy="857250"/>
          <a:chOff x="4448175" y="9525"/>
          <a:chExt cx="1143000" cy="857250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48175" y="9525"/>
            <a:ext cx="1143000" cy="857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>
            <a:off x="4562475" y="581025"/>
            <a:ext cx="1009649" cy="238125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8033"/>
                </a:solidFill>
                <a:latin typeface="Open sans"/>
              </a:rPr>
              <a:t>Estoque</a:t>
            </a: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8225" y="666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114300</xdr:colOff>
      <xdr:row>0</xdr:row>
      <xdr:rowOff>0</xdr:rowOff>
    </xdr:from>
    <xdr:to>
      <xdr:col>11</xdr:col>
      <xdr:colOff>295275</xdr:colOff>
      <xdr:row>0</xdr:row>
      <xdr:rowOff>857250</xdr:rowOff>
    </xdr:to>
    <xdr:grpSp>
      <xdr:nvGrpSpPr>
        <xdr:cNvPr id="24" name="Agrupar 23">
          <a:hlinkClick xmlns:r="http://schemas.openxmlformats.org/officeDocument/2006/relationships" r:id="rId10"/>
        </xdr:cNvPr>
        <xdr:cNvGrpSpPr/>
      </xdr:nvGrpSpPr>
      <xdr:grpSpPr>
        <a:xfrm>
          <a:off x="5600700" y="0"/>
          <a:ext cx="1400175" cy="857250"/>
          <a:chOff x="5600700" y="0"/>
          <a:chExt cx="1400175" cy="857250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5762625" y="0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" name="Agrupar 4"/>
          <xdr:cNvGrpSpPr/>
        </xdr:nvGrpSpPr>
        <xdr:grpSpPr>
          <a:xfrm>
            <a:off x="5600700" y="76200"/>
            <a:ext cx="1400175" cy="752475"/>
            <a:chOff x="5600700" y="76200"/>
            <a:chExt cx="1400175" cy="752475"/>
          </a:xfrm>
        </xdr:grpSpPr>
        <xdr:sp macro="" textlink="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SpPr txBox="1"/>
          </xdr:nvSpPr>
          <xdr:spPr>
            <a:xfrm>
              <a:off x="5600700" y="590550"/>
              <a:ext cx="1400175" cy="238125"/>
            </a:xfrm>
            <a:prstGeom prst="rect">
              <a:avLst/>
            </a:prstGeom>
            <a:solidFill>
              <a:srgbClr val="FF8033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600">
                  <a:solidFill>
                    <a:srgbClr val="FFFFFF"/>
                  </a:solidFill>
                  <a:latin typeface="Open sans"/>
                </a:rPr>
                <a:t>Dashboard</a:t>
              </a:r>
              <a:endParaRPr lang="pt-BR" sz="1400">
                <a:solidFill>
                  <a:srgbClr val="FFFFFF"/>
                </a:solidFill>
                <a:latin typeface="Open sans"/>
              </a:endParaRPr>
            </a:p>
          </xdr:txBody>
        </xdr:sp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057900" y="76200"/>
              <a:ext cx="447675" cy="4476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133350</xdr:colOff>
      <xdr:row>1</xdr:row>
      <xdr:rowOff>57150</xdr:rowOff>
    </xdr:from>
    <xdr:to>
      <xdr:col>2</xdr:col>
      <xdr:colOff>95250</xdr:colOff>
      <xdr:row>1</xdr:row>
      <xdr:rowOff>352425</xdr:rowOff>
    </xdr:to>
    <xdr:sp macro="" textlink="">
      <xdr:nvSpPr>
        <xdr:cNvPr id="28" name="CaixaDeTexto 2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133350" y="923925"/>
          <a:ext cx="1181100" cy="295275"/>
        </a:xfrm>
        <a:prstGeom prst="rect">
          <a:avLst/>
        </a:prstGeom>
        <a:gradFill>
          <a:gsLst>
            <a:gs pos="0">
              <a:srgbClr val="FF8033"/>
            </a:gs>
            <a:gs pos="90000">
              <a:srgbClr val="F26F5C"/>
            </a:gs>
            <a:gs pos="81000">
              <a:srgbClr val="F26F5C"/>
            </a:gs>
            <a:gs pos="100000">
              <a:srgbClr val="F26F5C"/>
            </a:gs>
          </a:gsLst>
          <a:path path="circle">
            <a:fillToRect l="100000" t="100000"/>
          </a:path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Open sans"/>
            </a:rPr>
            <a:t>Materiais</a:t>
          </a:r>
        </a:p>
      </xdr:txBody>
    </xdr:sp>
    <xdr:clientData/>
  </xdr:twoCellAnchor>
  <xdr:twoCellAnchor editAs="oneCell">
    <xdr:from>
      <xdr:col>22</xdr:col>
      <xdr:colOff>342900</xdr:colOff>
      <xdr:row>2</xdr:row>
      <xdr:rowOff>38100</xdr:rowOff>
    </xdr:from>
    <xdr:to>
      <xdr:col>28</xdr:col>
      <xdr:colOff>542499</xdr:colOff>
      <xdr:row>6</xdr:row>
      <xdr:rowOff>76200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4100" y="1390650"/>
          <a:ext cx="3857199" cy="800100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466726</xdr:colOff>
      <xdr:row>17</xdr:row>
      <xdr:rowOff>180976</xdr:rowOff>
    </xdr:from>
    <xdr:to>
      <xdr:col>19</xdr:col>
      <xdr:colOff>161742</xdr:colOff>
      <xdr:row>24</xdr:row>
      <xdr:rowOff>142876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6" y="4467226"/>
          <a:ext cx="4571816" cy="1295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4</xdr:col>
      <xdr:colOff>9525</xdr:colOff>
      <xdr:row>0</xdr:row>
      <xdr:rowOff>857250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9525"/>
          <a:ext cx="2695575" cy="847725"/>
          <a:chOff x="0" y="9525"/>
          <a:chExt cx="2790824" cy="8477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0" y="9525"/>
            <a:ext cx="2790824" cy="847725"/>
          </a:xfrm>
          <a:prstGeom prst="rect">
            <a:avLst/>
          </a:prstGeom>
          <a:gradFill flip="none" rotWithShape="1">
            <a:gsLst>
              <a:gs pos="69000">
                <a:srgbClr val="FF8033"/>
              </a:gs>
              <a:gs pos="90000">
                <a:srgbClr val="F26F5C"/>
              </a:gs>
              <a:gs pos="84000">
                <a:srgbClr val="F26F5C"/>
              </a:gs>
              <a:gs pos="100000">
                <a:srgbClr val="F26F5C"/>
              </a:gs>
            </a:gsLst>
            <a:lin ang="108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95351" y="133351"/>
            <a:ext cx="1209674" cy="647700"/>
          </a:xfrm>
          <a:prstGeom prst="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>
            <a:noFill/>
          </a:ln>
        </xdr:spPr>
      </xdr:pic>
    </xdr:grpSp>
    <xdr:clientData/>
  </xdr:twoCellAnchor>
  <xdr:twoCellAnchor>
    <xdr:from>
      <xdr:col>3</xdr:col>
      <xdr:colOff>333375</xdr:colOff>
      <xdr:row>0</xdr:row>
      <xdr:rowOff>9525</xdr:rowOff>
    </xdr:from>
    <xdr:to>
      <xdr:col>5</xdr:col>
      <xdr:colOff>257175</xdr:colOff>
      <xdr:row>1</xdr:row>
      <xdr:rowOff>0</xdr:rowOff>
    </xdr:to>
    <xdr:grpSp>
      <xdr:nvGrpSpPr>
        <xdr:cNvPr id="5" name="Agrupar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2333625" y="9525"/>
          <a:ext cx="1228725" cy="857250"/>
          <a:chOff x="2162175" y="9525"/>
          <a:chExt cx="1143000" cy="85725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2162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3175" y="95250"/>
            <a:ext cx="428625" cy="428625"/>
          </a:xfrm>
          <a:prstGeom prst="rect">
            <a:avLst/>
          </a:prstGeom>
          <a:solidFill>
            <a:srgbClr val="FF8033"/>
          </a:solidFill>
        </xdr:spPr>
      </xdr:pic>
      <xdr:sp macro="" textlink="">
        <xdr:nvSpPr>
          <xdr:cNvPr id="8" name="CaixaDeTexto 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2343150" y="600075"/>
            <a:ext cx="885825" cy="152400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chemeClr val="bg1"/>
                </a:solidFill>
                <a:latin typeface="Open sans"/>
              </a:rPr>
              <a:t>Início</a:t>
            </a:r>
          </a:p>
        </xdr:txBody>
      </xdr:sp>
    </xdr:grpSp>
    <xdr:clientData/>
  </xdr:twoCellAnchor>
  <xdr:twoCellAnchor>
    <xdr:from>
      <xdr:col>5</xdr:col>
      <xdr:colOff>257175</xdr:colOff>
      <xdr:row>0</xdr:row>
      <xdr:rowOff>9525</xdr:rowOff>
    </xdr:from>
    <xdr:to>
      <xdr:col>7</xdr:col>
      <xdr:colOff>180975</xdr:colOff>
      <xdr:row>1</xdr:row>
      <xdr:rowOff>0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pSpPr/>
      </xdr:nvGrpSpPr>
      <xdr:grpSpPr>
        <a:xfrm>
          <a:off x="3562350" y="9525"/>
          <a:ext cx="1314450" cy="857250"/>
          <a:chOff x="3305175" y="9525"/>
          <a:chExt cx="1143000" cy="85725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305175" y="9525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>
            <a:off x="3486150" y="600075"/>
            <a:ext cx="923925" cy="152400"/>
          </a:xfrm>
          <a:prstGeom prst="rect">
            <a:avLst/>
          </a:prstGeom>
          <a:solidFill>
            <a:srgbClr val="FF803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FFFF"/>
                </a:solidFill>
                <a:latin typeface="Open sans"/>
              </a:rPr>
              <a:t>Clientes</a:t>
            </a: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57600" y="85725"/>
            <a:ext cx="485775" cy="48577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0</xdr:row>
      <xdr:rowOff>9525</xdr:rowOff>
    </xdr:from>
    <xdr:to>
      <xdr:col>9</xdr:col>
      <xdr:colOff>104775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4876800" y="9525"/>
          <a:ext cx="1143000" cy="857250"/>
          <a:chOff x="4448175" y="9525"/>
          <a:chExt cx="1143000" cy="857250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4448175" y="9525"/>
            <a:ext cx="1143000" cy="857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 txBox="1"/>
        </xdr:nvSpPr>
        <xdr:spPr>
          <a:xfrm>
            <a:off x="4562475" y="581025"/>
            <a:ext cx="1009649" cy="238125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solidFill>
                  <a:srgbClr val="FF8033"/>
                </a:solidFill>
                <a:latin typeface="Open sans"/>
              </a:rPr>
              <a:t>Estoque</a:t>
            </a: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8225" y="666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266700</xdr:colOff>
      <xdr:row>0</xdr:row>
      <xdr:rowOff>0</xdr:rowOff>
    </xdr:from>
    <xdr:to>
      <xdr:col>11</xdr:col>
      <xdr:colOff>447675</xdr:colOff>
      <xdr:row>0</xdr:row>
      <xdr:rowOff>857250</xdr:rowOff>
    </xdr:to>
    <xdr:grpSp>
      <xdr:nvGrpSpPr>
        <xdr:cNvPr id="27" name="Agrupar 26">
          <a:hlinkClick xmlns:r="http://schemas.openxmlformats.org/officeDocument/2006/relationships" r:id="rId11"/>
        </xdr:cNvPr>
        <xdr:cNvGrpSpPr/>
      </xdr:nvGrpSpPr>
      <xdr:grpSpPr>
        <a:xfrm>
          <a:off x="6181725" y="0"/>
          <a:ext cx="1400175" cy="857250"/>
          <a:chOff x="6305550" y="0"/>
          <a:chExt cx="1400175" cy="857250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6429375" y="0"/>
            <a:ext cx="1143000" cy="857250"/>
          </a:xfrm>
          <a:prstGeom prst="rect">
            <a:avLst/>
          </a:prstGeom>
          <a:solidFill>
            <a:srgbClr val="FF80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5" name="Agrupar 24"/>
          <xdr:cNvGrpSpPr/>
        </xdr:nvGrpSpPr>
        <xdr:grpSpPr>
          <a:xfrm>
            <a:off x="6305550" y="133350"/>
            <a:ext cx="1400175" cy="695325"/>
            <a:chOff x="6305550" y="133350"/>
            <a:chExt cx="1400175" cy="695325"/>
          </a:xfrm>
        </xdr:grpSpPr>
        <xdr:sp macro="" textlink="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 txBox="1"/>
          </xdr:nvSpPr>
          <xdr:spPr>
            <a:xfrm>
              <a:off x="6305550" y="590550"/>
              <a:ext cx="1400175" cy="238125"/>
            </a:xfrm>
            <a:prstGeom prst="rect">
              <a:avLst/>
            </a:prstGeom>
            <a:solidFill>
              <a:srgbClr val="FF8033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600">
                  <a:solidFill>
                    <a:srgbClr val="FFFFFF"/>
                  </a:solidFill>
                  <a:latin typeface="Open sans"/>
                </a:rPr>
                <a:t>Dashboard</a:t>
              </a:r>
              <a:endParaRPr lang="pt-BR" sz="1400">
                <a:solidFill>
                  <a:srgbClr val="FFFFFF"/>
                </a:solidFill>
                <a:latin typeface="Open sans"/>
              </a:endParaRPr>
            </a:p>
          </xdr:txBody>
        </xdr:sp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753225" y="133350"/>
              <a:ext cx="447675" cy="4476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133350</xdr:colOff>
      <xdr:row>1</xdr:row>
      <xdr:rowOff>57150</xdr:rowOff>
    </xdr:from>
    <xdr:to>
      <xdr:col>2</xdr:col>
      <xdr:colOff>95250</xdr:colOff>
      <xdr:row>1</xdr:row>
      <xdr:rowOff>352425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133350" y="923925"/>
          <a:ext cx="1181100" cy="29527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F26F5C"/>
              </a:solidFill>
              <a:latin typeface="Open sans"/>
            </a:rPr>
            <a:t>Materiais</a:t>
          </a:r>
        </a:p>
      </xdr:txBody>
    </xdr:sp>
    <xdr:clientData/>
  </xdr:twoCellAnchor>
  <xdr:twoCellAnchor editAs="oneCell">
    <xdr:from>
      <xdr:col>0</xdr:col>
      <xdr:colOff>0</xdr:colOff>
      <xdr:row>33</xdr:row>
      <xdr:rowOff>95250</xdr:rowOff>
    </xdr:from>
    <xdr:to>
      <xdr:col>5</xdr:col>
      <xdr:colOff>552024</xdr:colOff>
      <xdr:row>37</xdr:row>
      <xdr:rowOff>133350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15325"/>
          <a:ext cx="3857199" cy="8001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growShrinkType="overwriteClear" adjustColumnWidth="0" connectionId="4" autoFormatId="16" applyNumberFormats="0" applyBorderFormats="0" applyFontFormats="0" applyPatternFormats="0" applyAlignmentFormats="0" applyWidthHeightFormats="0">
  <queryTableRefresh nextId="4">
    <queryTableFields count="3">
      <queryTableField id="1" name="DIA" tableColumnId="1"/>
      <queryTableField id="2" name="Agenda.Horário" tableColumnId="2"/>
      <queryTableField id="3" name="Agenda.Descrição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genda" displayName="Agenda" ref="N8:P9" totalsRowShown="0" headerRowDxfId="12" dataDxfId="11">
  <autoFilter ref="N8:P9"/>
  <tableColumns count="3">
    <tableColumn id="1" name="   Data" dataDxfId="10"/>
    <tableColumn id="2" name="Horário" dataDxfId="9"/>
    <tableColumn id="3" name="Descrição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ia" displayName="Dia" ref="J14:J15" totalsRowShown="0" headerRowDxfId="7" dataDxfId="6">
  <autoFilter ref="J14:J15"/>
  <tableColumns count="1">
    <tableColumn id="1" name="DIA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ok" displayName="ok" ref="O12:Q13" tableType="queryTable" totalsRowShown="0" headerRowDxfId="4" dataDxfId="3">
  <autoFilter ref="O12:Q13"/>
  <tableColumns count="3">
    <tableColumn id="1" uniqueName="1" name="DIA" queryTableFieldId="1" dataDxfId="2"/>
    <tableColumn id="2" uniqueName="2" name="Agenda.Horário" queryTableFieldId="2" dataDxfId="1"/>
    <tableColumn id="3" uniqueName="3" name="Agenda.Descrição" queryTableFieldId="3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C41"/>
  <sheetViews>
    <sheetView tabSelected="1" zoomScaleNormal="100" workbookViewId="0"/>
  </sheetViews>
  <sheetFormatPr defaultRowHeight="15"/>
  <sheetData>
    <row r="1" spans="1:29" ht="68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38.25" customHeight="1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8.75" customHeight="1">
      <c r="A9" s="1"/>
      <c r="B9" s="1"/>
      <c r="C9" s="43" t="s">
        <v>35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</sheetData>
  <mergeCells count="1">
    <mergeCell ref="C9:P9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C41"/>
  <sheetViews>
    <sheetView zoomScaleNormal="100" workbookViewId="0"/>
  </sheetViews>
  <sheetFormatPr defaultRowHeight="15"/>
  <sheetData>
    <row r="1" spans="1:29" ht="68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38.25" customHeight="1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>
      <c r="A7" s="1"/>
      <c r="B7" s="1"/>
      <c r="C7" s="1"/>
      <c r="D7" s="5"/>
      <c r="E7" s="5"/>
      <c r="F7" s="5"/>
      <c r="G7" s="5"/>
      <c r="H7" s="5"/>
      <c r="I7" s="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18" customHeight="1">
      <c r="A8" s="1"/>
      <c r="B8" s="1"/>
      <c r="C8" s="1"/>
      <c r="D8" s="1"/>
      <c r="E8" s="1"/>
      <c r="F8" s="14" t="s">
        <v>36</v>
      </c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"/>
      <c r="AA8" s="1"/>
      <c r="AB8" s="1"/>
      <c r="AC8" s="1"/>
    </row>
    <row r="9" spans="1:29" ht="15" customHeight="1">
      <c r="A9" s="1"/>
      <c r="B9" s="1"/>
      <c r="C9" s="1"/>
      <c r="D9" s="1"/>
      <c r="E9" s="1"/>
      <c r="F9" s="14" t="s">
        <v>37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"/>
      <c r="AA9" s="1"/>
      <c r="AB9" s="1"/>
      <c r="AC9" s="1"/>
    </row>
    <row r="10" spans="1:29" ht="15" customHeight="1">
      <c r="A10" s="1"/>
      <c r="B10" s="1"/>
      <c r="C10" s="1"/>
      <c r="D10" s="1"/>
      <c r="E10" s="1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"/>
      <c r="AA10" s="1"/>
      <c r="AB10" s="1"/>
      <c r="AC10" s="1"/>
    </row>
    <row r="11" spans="1:29" ht="18">
      <c r="A11" s="1"/>
      <c r="B11" s="1"/>
      <c r="C11" s="1"/>
      <c r="D11" s="1"/>
      <c r="E11" s="1"/>
      <c r="F11" s="1"/>
      <c r="G11" s="1"/>
      <c r="H11" s="44" t="s">
        <v>38</v>
      </c>
      <c r="I11" s="45"/>
      <c r="J11" s="45"/>
      <c r="K11" s="45"/>
      <c r="L11" s="45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</sheetData>
  <mergeCells count="1">
    <mergeCell ref="H11:L1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I45"/>
  <sheetViews>
    <sheetView zoomScaleNormal="100" workbookViewId="0"/>
  </sheetViews>
  <sheetFormatPr defaultRowHeight="15"/>
  <cols>
    <col min="3" max="3" width="11.28515625" bestFit="1" customWidth="1"/>
    <col min="4" max="4" width="9.140625" customWidth="1"/>
    <col min="7" max="7" width="7.7109375" bestFit="1" customWidth="1"/>
    <col min="31" max="31" width="38.140625" customWidth="1"/>
    <col min="32" max="32" width="31.42578125" bestFit="1" customWidth="1"/>
    <col min="33" max="33" width="40.140625" bestFit="1" customWidth="1"/>
    <col min="34" max="34" width="26.85546875" customWidth="1"/>
    <col min="35" max="35" width="12.42578125" bestFit="1" customWidth="1"/>
  </cols>
  <sheetData>
    <row r="1" spans="1:35" ht="68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5" ht="38.25" customHeight="1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12"/>
      <c r="AE2" s="12"/>
    </row>
    <row r="3" spans="1: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6"/>
      <c r="AG3" s="6"/>
      <c r="AH3" s="6"/>
      <c r="AI3" s="6"/>
    </row>
    <row r="4" spans="1: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7" t="s">
        <v>4</v>
      </c>
      <c r="AG4" s="7" t="s">
        <v>5</v>
      </c>
      <c r="AH4" s="7" t="s">
        <v>6</v>
      </c>
      <c r="AI4" s="7" t="s">
        <v>7</v>
      </c>
    </row>
    <row r="5" spans="1: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7"/>
      <c r="AG5" s="7"/>
      <c r="AH5" s="7"/>
      <c r="AI5" s="7"/>
    </row>
    <row r="6" spans="1: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7" t="s">
        <v>21</v>
      </c>
      <c r="AG6" s="7" t="s">
        <v>22</v>
      </c>
      <c r="AH6" s="7" t="s">
        <v>24</v>
      </c>
      <c r="AI6" s="7" t="s">
        <v>23</v>
      </c>
    </row>
    <row r="7" spans="1: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7" t="s">
        <v>17</v>
      </c>
      <c r="AG7" s="7" t="s">
        <v>18</v>
      </c>
      <c r="AH7" s="7" t="s">
        <v>19</v>
      </c>
      <c r="AI7" s="7" t="s">
        <v>20</v>
      </c>
    </row>
    <row r="8" spans="1: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7" t="s">
        <v>13</v>
      </c>
      <c r="AG8" s="7" t="s">
        <v>16</v>
      </c>
      <c r="AH8" s="7" t="s">
        <v>15</v>
      </c>
      <c r="AI8" s="7" t="s">
        <v>14</v>
      </c>
    </row>
    <row r="9" spans="1: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7" t="s">
        <v>10</v>
      </c>
      <c r="AG9" s="7" t="s">
        <v>11</v>
      </c>
      <c r="AH9" s="7" t="s">
        <v>8</v>
      </c>
      <c r="AI9" s="7" t="s">
        <v>12</v>
      </c>
    </row>
    <row r="10" spans="1: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5" ht="25.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5"/>
      <c r="V11" s="16" t="s">
        <v>39</v>
      </c>
      <c r="W11" s="1"/>
      <c r="X11" s="1"/>
      <c r="Y11" s="1"/>
      <c r="Z11" s="1"/>
      <c r="AA11" s="1"/>
      <c r="AB11" s="1"/>
      <c r="AC11" s="1"/>
      <c r="AD11" s="1"/>
      <c r="AE11" s="1"/>
    </row>
    <row r="12" spans="1: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5" ht="23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49" t="s">
        <v>33</v>
      </c>
      <c r="P14" s="49"/>
      <c r="Q14" s="49"/>
      <c r="R14" s="49"/>
      <c r="S14" s="49"/>
      <c r="T14" s="49"/>
      <c r="U14" s="49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5" ht="15.75" thickBo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5" ht="15.75" thickBo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4" t="s">
        <v>0</v>
      </c>
      <c r="O16" s="46"/>
      <c r="P16" s="47"/>
      <c r="Q16" s="47"/>
      <c r="R16" s="47"/>
      <c r="S16" s="47"/>
      <c r="T16" s="47"/>
      <c r="U16" s="48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4" ht="16.5" thickTop="1" thickBo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4" ht="15.75" thickBo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4" t="s">
        <v>1</v>
      </c>
      <c r="O18" s="46"/>
      <c r="P18" s="47"/>
      <c r="Q18" s="47"/>
      <c r="R18" s="47"/>
      <c r="S18" s="47"/>
      <c r="T18" s="47"/>
      <c r="U18" s="48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4" ht="16.5" thickTop="1" thickBo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4" ht="15.75" thickBo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4" t="s">
        <v>2</v>
      </c>
      <c r="O20" s="46"/>
      <c r="P20" s="47"/>
      <c r="Q20" s="48"/>
      <c r="R20" s="4" t="s">
        <v>3</v>
      </c>
      <c r="S20" s="46"/>
      <c r="T20" s="47"/>
      <c r="U20" s="48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4" ht="15.75" thickTop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3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H26" t="s">
        <v>9</v>
      </c>
    </row>
    <row r="27" spans="1:3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</sheetData>
  <mergeCells count="5">
    <mergeCell ref="O16:U16"/>
    <mergeCell ref="O18:U18"/>
    <mergeCell ref="O20:Q20"/>
    <mergeCell ref="S20:U20"/>
    <mergeCell ref="O14:U14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Planilha4"/>
  <dimension ref="A1:AC41"/>
  <sheetViews>
    <sheetView zoomScaleNormal="100" workbookViewId="0">
      <selection activeCell="O12" sqref="O12:Q13"/>
    </sheetView>
  </sheetViews>
  <sheetFormatPr defaultRowHeight="15"/>
  <cols>
    <col min="10" max="10" width="12" bestFit="1" customWidth="1"/>
    <col min="11" max="11" width="10.7109375" bestFit="1" customWidth="1"/>
    <col min="14" max="14" width="13.28515625" customWidth="1"/>
    <col min="15" max="15" width="10.7109375" customWidth="1"/>
    <col min="16" max="16" width="24.7109375" customWidth="1"/>
    <col min="17" max="17" width="28.42578125" customWidth="1"/>
    <col min="18" max="18" width="77.42578125" customWidth="1"/>
  </cols>
  <sheetData>
    <row r="1" spans="1:29" ht="68.25" customHeight="1">
      <c r="A1" s="2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38.25" customHeight="1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20.25">
      <c r="A6" s="1"/>
      <c r="B6" s="50" t="s">
        <v>25</v>
      </c>
      <c r="C6" s="50"/>
      <c r="D6" s="50"/>
      <c r="E6" s="50"/>
      <c r="F6" s="50"/>
      <c r="G6" s="50"/>
      <c r="H6" s="50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7" customHeight="1">
      <c r="A8" s="1"/>
      <c r="B8" s="33" t="s">
        <v>48</v>
      </c>
      <c r="C8" s="34" t="s">
        <v>26</v>
      </c>
      <c r="D8" s="34" t="s">
        <v>27</v>
      </c>
      <c r="E8" s="34" t="s">
        <v>28</v>
      </c>
      <c r="F8" s="34" t="s">
        <v>28</v>
      </c>
      <c r="G8" s="34" t="s">
        <v>26</v>
      </c>
      <c r="H8" s="34" t="s">
        <v>26</v>
      </c>
      <c r="I8" s="1"/>
      <c r="J8" s="1"/>
      <c r="K8" s="1"/>
      <c r="L8" s="1"/>
      <c r="M8" s="1"/>
      <c r="N8" s="22" t="s">
        <v>43</v>
      </c>
      <c r="O8" s="18" t="s">
        <v>32</v>
      </c>
      <c r="P8" s="18" t="s">
        <v>40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26.25" customHeight="1">
      <c r="A9" s="1"/>
      <c r="B9" s="32" t="str">
        <f>IF(WEEKDAY($K$11)=1,$K$11,"")</f>
        <v/>
      </c>
      <c r="C9" s="32" t="str">
        <f>IF(WEEKDAY($K$11)=2,$K$11,IF(WEEKDAY($K$11)&lt;2,B9+1,""))</f>
        <v/>
      </c>
      <c r="D9" s="32" t="str">
        <f>IF(WEEKDAY($K$11)=3,$K$11,IF(WEEKDAY($K$11)&lt;3,C9+1,""))</f>
        <v/>
      </c>
      <c r="E9" s="32" t="str">
        <f>IF(WEEKDAY($K$11)=4,$K$11,IF(WEEKDAY($K$11)&lt;4,D9+1,""))</f>
        <v/>
      </c>
      <c r="F9" s="32" t="str">
        <f>IF(WEEKDAY($K$11)=5,$K$11,IF(WEEKDAY($K$11)&lt;5,E9+1,""))</f>
        <v/>
      </c>
      <c r="G9" s="32" t="str">
        <f>IF(WEEKDAY($K$11)=6,$K$11,IF(WEEKDAY($K$11)&lt;6,F9+1,""))</f>
        <v/>
      </c>
      <c r="H9" s="32">
        <f>IF(WEEKDAY($K$11)=7,$K$11,IF(WEEKDAY($K$11)&lt;7,G9+1,""))</f>
        <v>45444</v>
      </c>
      <c r="I9" s="1"/>
      <c r="J9" s="1"/>
      <c r="K9" s="1"/>
      <c r="L9" s="1"/>
      <c r="M9" s="1"/>
      <c r="N9" s="21" t="s">
        <v>42</v>
      </c>
      <c r="O9" s="19" t="s">
        <v>49</v>
      </c>
      <c r="P9" s="20" t="s">
        <v>41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26.25" customHeight="1">
      <c r="A10" s="1"/>
      <c r="B10" s="32">
        <f>IF(H9&lt;&gt;"",IF(H9&lt;$K$12,H9+1,""),"")</f>
        <v>45445</v>
      </c>
      <c r="C10" s="32">
        <f>IF(B10&lt;&gt;"",IF(B10&lt;$K$12,B10+1,""),"")</f>
        <v>45446</v>
      </c>
      <c r="D10" s="32">
        <f t="shared" ref="D10:H10" si="0">IF(C10&lt;&gt;"",IF(C10&lt;$K$12,C10+1,""),"")</f>
        <v>45447</v>
      </c>
      <c r="E10" s="32">
        <f t="shared" si="0"/>
        <v>45448</v>
      </c>
      <c r="F10" s="32">
        <f t="shared" si="0"/>
        <v>45449</v>
      </c>
      <c r="G10" s="32">
        <f t="shared" si="0"/>
        <v>45450</v>
      </c>
      <c r="H10" s="32">
        <f t="shared" si="0"/>
        <v>45451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26.25" customHeight="1">
      <c r="A11" s="1"/>
      <c r="B11" s="32">
        <f t="shared" ref="B11:B14" si="1">IF(H10&lt;&gt;"",IF(H10&lt;$K$12,H10+1,""),"")</f>
        <v>45452</v>
      </c>
      <c r="C11" s="32">
        <f t="shared" ref="C11:G11" si="2">IF(B11&lt;&gt;"",IF(B11&lt;$K$12,B11+1,""),"")</f>
        <v>45453</v>
      </c>
      <c r="D11" s="32">
        <f t="shared" si="2"/>
        <v>45454</v>
      </c>
      <c r="E11" s="32">
        <f t="shared" si="2"/>
        <v>45455</v>
      </c>
      <c r="F11" s="32">
        <f t="shared" si="2"/>
        <v>45456</v>
      </c>
      <c r="G11" s="32">
        <f t="shared" si="2"/>
        <v>45457</v>
      </c>
      <c r="H11" s="32">
        <f>IF(G11&lt;&gt;"",IF(G11&lt;$K$12,G11+1,""),"")</f>
        <v>45458</v>
      </c>
      <c r="I11" s="1"/>
      <c r="J11" s="11" t="s">
        <v>30</v>
      </c>
      <c r="K11" s="10">
        <f>DATE(C21,F21,1)</f>
        <v>45444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7"/>
      <c r="AA11" s="1"/>
      <c r="AB11" s="1"/>
      <c r="AC11" s="1"/>
    </row>
    <row r="12" spans="1:29" ht="29.25" customHeight="1">
      <c r="A12" s="1"/>
      <c r="B12" s="32">
        <f t="shared" si="1"/>
        <v>45459</v>
      </c>
      <c r="C12" s="32">
        <f t="shared" ref="C12:H12" si="3">IF(B12&lt;&gt;"",IF(B12&lt;$K$12,B12+1,""),"")</f>
        <v>45460</v>
      </c>
      <c r="D12" s="32">
        <f t="shared" si="3"/>
        <v>45461</v>
      </c>
      <c r="E12" s="32">
        <f t="shared" si="3"/>
        <v>45462</v>
      </c>
      <c r="F12" s="32">
        <f t="shared" si="3"/>
        <v>45463</v>
      </c>
      <c r="G12" s="32">
        <f t="shared" si="3"/>
        <v>45464</v>
      </c>
      <c r="H12" s="32">
        <f t="shared" si="3"/>
        <v>45465</v>
      </c>
      <c r="I12" s="1"/>
      <c r="J12" s="11" t="s">
        <v>31</v>
      </c>
      <c r="K12" s="10">
        <f>EOMONTH(K11,0)</f>
        <v>45473</v>
      </c>
      <c r="L12" s="1"/>
      <c r="M12" s="1"/>
      <c r="N12" s="1"/>
      <c r="O12" s="26" t="s">
        <v>44</v>
      </c>
      <c r="P12" s="27" t="s">
        <v>46</v>
      </c>
      <c r="Q12" s="28" t="s">
        <v>47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27" customHeight="1">
      <c r="A13" s="1"/>
      <c r="B13" s="32">
        <f t="shared" si="1"/>
        <v>45466</v>
      </c>
      <c r="C13" s="32">
        <f t="shared" ref="C13:H13" si="4">IF(B13&lt;&gt;"",IF(B13&lt;$K$12,B13+1,""),"")</f>
        <v>45467</v>
      </c>
      <c r="D13" s="32">
        <f t="shared" si="4"/>
        <v>45468</v>
      </c>
      <c r="E13" s="32">
        <f t="shared" si="4"/>
        <v>45469</v>
      </c>
      <c r="F13" s="32">
        <f t="shared" si="4"/>
        <v>45470</v>
      </c>
      <c r="G13" s="32">
        <f t="shared" si="4"/>
        <v>45471</v>
      </c>
      <c r="H13" s="32">
        <f t="shared" si="4"/>
        <v>45472</v>
      </c>
      <c r="I13" s="1"/>
      <c r="J13" s="1"/>
      <c r="K13" s="1"/>
      <c r="L13" s="1"/>
      <c r="M13" s="1"/>
      <c r="N13" s="1"/>
      <c r="O13" s="29">
        <v>45455</v>
      </c>
      <c r="P13" s="30"/>
      <c r="Q13" s="3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26.25" customHeight="1">
      <c r="A14" s="1"/>
      <c r="B14" s="32">
        <f t="shared" si="1"/>
        <v>45473</v>
      </c>
      <c r="C14" s="32" t="str">
        <f t="shared" ref="C14:H14" si="5">IF(B14&lt;&gt;"",IF(B14&lt;$K$12,B14+1,""),"")</f>
        <v/>
      </c>
      <c r="D14" s="32" t="str">
        <f t="shared" si="5"/>
        <v/>
      </c>
      <c r="E14" s="32" t="str">
        <f t="shared" si="5"/>
        <v/>
      </c>
      <c r="F14" s="32" t="str">
        <f t="shared" si="5"/>
        <v/>
      </c>
      <c r="G14" s="32" t="str">
        <f t="shared" si="5"/>
        <v/>
      </c>
      <c r="H14" s="32" t="str">
        <f t="shared" si="5"/>
        <v/>
      </c>
      <c r="I14" s="23" t="s">
        <v>45</v>
      </c>
      <c r="J14" s="24" t="s">
        <v>44</v>
      </c>
      <c r="K14" s="1"/>
      <c r="L14" s="1"/>
      <c r="M14" s="1"/>
      <c r="N14" s="51"/>
      <c r="O14" s="51"/>
      <c r="P14" s="51"/>
      <c r="Q14" s="5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9">
      <c r="A15" s="1"/>
      <c r="B15" s="1"/>
      <c r="C15" s="1"/>
      <c r="D15" s="1"/>
      <c r="E15" s="1"/>
      <c r="F15" s="1"/>
      <c r="G15" s="1"/>
      <c r="H15" s="1"/>
      <c r="I15" s="23"/>
      <c r="J15" s="23" t="s">
        <v>80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9">
      <c r="A16" s="1"/>
      <c r="B16" s="1"/>
      <c r="C16" s="1"/>
      <c r="D16" s="1"/>
      <c r="E16" s="1"/>
      <c r="F16" s="1"/>
      <c r="G16" s="1"/>
      <c r="H16" s="1"/>
      <c r="I16" s="1"/>
      <c r="J16" s="1"/>
      <c r="K16" s="1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>
      <c r="A17" s="1"/>
      <c r="B17" s="1"/>
      <c r="C17" s="1"/>
      <c r="D17" s="1"/>
      <c r="E17" s="1"/>
      <c r="F17" s="1"/>
      <c r="G17" s="1"/>
      <c r="H17" s="1"/>
      <c r="I17" s="1"/>
      <c r="J17" s="1"/>
      <c r="K17" s="10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ht="15.75" thickBo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ht="15.75" thickBot="1">
      <c r="A20" s="1"/>
      <c r="B20" s="1"/>
      <c r="C20" s="8" t="s">
        <v>29</v>
      </c>
      <c r="D20" s="1"/>
      <c r="E20" s="1"/>
      <c r="F20" s="8" t="s">
        <v>34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thickBot="1">
      <c r="A21" s="1"/>
      <c r="B21" s="1"/>
      <c r="C21" s="9">
        <v>2024</v>
      </c>
      <c r="D21" s="1"/>
      <c r="E21" s="1"/>
      <c r="F21" s="9">
        <v>6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thickTop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</sheetData>
  <mergeCells count="3">
    <mergeCell ref="B6:H6"/>
    <mergeCell ref="P14:Q14"/>
    <mergeCell ref="N14:O14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3</xdr:col>
                    <xdr:colOff>47625</xdr:colOff>
                    <xdr:row>19</xdr:row>
                    <xdr:rowOff>28575</xdr:rowOff>
                  </from>
                  <to>
                    <xdr:col>3</xdr:col>
                    <xdr:colOff>409575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Spinner 2">
              <controlPr defaultSize="0" autoPict="0">
                <anchor moveWithCells="1" sizeWithCells="1">
                  <from>
                    <xdr:col>6</xdr:col>
                    <xdr:colOff>47625</xdr:colOff>
                    <xdr:row>19</xdr:row>
                    <xdr:rowOff>19050</xdr:rowOff>
                  </from>
                  <to>
                    <xdr:col>6</xdr:col>
                    <xdr:colOff>419100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C41"/>
  <sheetViews>
    <sheetView zoomScaleNormal="100" workbookViewId="0"/>
  </sheetViews>
  <sheetFormatPr defaultRowHeight="15"/>
  <sheetData>
    <row r="1" spans="1:29" ht="68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38.25" customHeight="1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8">
      <c r="A10" s="1"/>
      <c r="B10" s="1"/>
      <c r="C10" s="1"/>
      <c r="D10" s="1"/>
      <c r="E10" s="1"/>
      <c r="F10" s="1"/>
      <c r="G10" s="1"/>
      <c r="H10" s="1"/>
      <c r="I10" s="1"/>
      <c r="J10" s="42" t="s">
        <v>77</v>
      </c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1"/>
      <c r="X10" s="1"/>
      <c r="Y10" s="1"/>
      <c r="Z10" s="1"/>
      <c r="AA10" s="1"/>
      <c r="AB10" s="1"/>
      <c r="AC10" s="1"/>
    </row>
    <row r="11" spans="1:29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4" t="s">
        <v>78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C41"/>
  <sheetViews>
    <sheetView zoomScaleNormal="100" workbookViewId="0">
      <selection activeCell="J4" sqref="J4"/>
    </sheetView>
  </sheetViews>
  <sheetFormatPr defaultRowHeight="15"/>
  <cols>
    <col min="2" max="2" width="13" customWidth="1"/>
    <col min="3" max="3" width="7.85546875" customWidth="1"/>
    <col min="4" max="4" width="10.28515625" customWidth="1"/>
    <col min="5" max="5" width="9.28515625" customWidth="1"/>
    <col min="6" max="6" width="10.5703125" customWidth="1"/>
    <col min="7" max="7" width="10.28515625" customWidth="1"/>
  </cols>
  <sheetData>
    <row r="1" spans="1:29" ht="68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38.25" customHeight="1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20.25">
      <c r="A5" s="1"/>
      <c r="B5" s="1"/>
      <c r="C5" s="61"/>
      <c r="D5" s="61"/>
      <c r="E5" s="61"/>
      <c r="F5" s="61"/>
      <c r="G5" s="6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24" thickBot="1">
      <c r="A6" s="1"/>
      <c r="B6" s="1"/>
      <c r="C6" s="60" t="s">
        <v>50</v>
      </c>
      <c r="D6" s="60"/>
      <c r="E6" s="60"/>
      <c r="F6" s="60"/>
      <c r="G6" s="60"/>
      <c r="H6" s="1"/>
      <c r="I6" s="1"/>
      <c r="J6" s="1"/>
      <c r="K6" s="1"/>
      <c r="L6" s="1"/>
      <c r="M6" s="1"/>
      <c r="N6" s="1"/>
      <c r="O6" s="1"/>
      <c r="P6" s="1"/>
      <c r="Q6" s="56" t="s">
        <v>66</v>
      </c>
      <c r="R6" s="57"/>
      <c r="S6" s="57"/>
      <c r="T6" s="57"/>
      <c r="U6" s="57"/>
      <c r="V6" s="57"/>
      <c r="W6" s="1"/>
      <c r="X6" s="1"/>
      <c r="Y6" s="1"/>
      <c r="Z6" s="1"/>
      <c r="AA6" s="1"/>
      <c r="AB6" s="1"/>
      <c r="AC6" s="1"/>
    </row>
    <row r="7" spans="1:29" ht="19.5" thickTop="1" thickBot="1">
      <c r="A7" s="1"/>
      <c r="B7" s="1"/>
      <c r="C7" s="62" t="s">
        <v>60</v>
      </c>
      <c r="D7" s="62"/>
      <c r="E7" s="62" t="s">
        <v>61</v>
      </c>
      <c r="F7" s="62"/>
      <c r="G7" s="62"/>
      <c r="H7" s="1"/>
      <c r="I7" s="40" t="s">
        <v>72</v>
      </c>
      <c r="J7" s="1"/>
      <c r="K7" s="1"/>
      <c r="L7" s="1"/>
      <c r="M7" s="1"/>
      <c r="N7" s="1"/>
      <c r="O7" s="1"/>
      <c r="P7" s="1"/>
      <c r="Q7" s="58" t="s">
        <v>67</v>
      </c>
      <c r="R7" s="58"/>
      <c r="S7" s="58"/>
      <c r="T7" s="59">
        <v>15</v>
      </c>
      <c r="U7" s="58"/>
      <c r="V7" s="58"/>
      <c r="W7" s="1"/>
      <c r="X7" s="1"/>
      <c r="Y7" s="1"/>
      <c r="Z7" s="1"/>
      <c r="AA7" s="1"/>
      <c r="AB7" s="1"/>
      <c r="AC7" s="1"/>
    </row>
    <row r="8" spans="1:29" ht="22.5" customHeight="1" thickBot="1">
      <c r="A8" s="1"/>
      <c r="B8" s="37"/>
      <c r="C8" s="53" t="s">
        <v>51</v>
      </c>
      <c r="D8" s="53"/>
      <c r="E8" s="52">
        <v>2</v>
      </c>
      <c r="F8" s="53"/>
      <c r="G8" s="53"/>
      <c r="H8" s="1"/>
      <c r="I8" s="39" t="s">
        <v>73</v>
      </c>
      <c r="J8" s="1"/>
      <c r="K8" s="1"/>
      <c r="L8" s="1"/>
      <c r="M8" s="1"/>
      <c r="N8" s="1"/>
      <c r="O8" s="1"/>
      <c r="P8" s="1"/>
      <c r="Q8" s="53" t="s">
        <v>68</v>
      </c>
      <c r="R8" s="53"/>
      <c r="S8" s="53"/>
      <c r="T8" s="52">
        <v>200</v>
      </c>
      <c r="U8" s="53"/>
      <c r="V8" s="53"/>
      <c r="W8" s="1"/>
      <c r="X8" s="1"/>
      <c r="Y8" s="1"/>
      <c r="Z8" s="1"/>
      <c r="AA8" s="1"/>
      <c r="AB8" s="1"/>
      <c r="AC8" s="1"/>
    </row>
    <row r="9" spans="1:29" ht="19.5" customHeight="1" thickBot="1">
      <c r="A9" s="1"/>
      <c r="B9" s="37"/>
      <c r="C9" s="53" t="s">
        <v>52</v>
      </c>
      <c r="D9" s="53"/>
      <c r="E9" s="52">
        <v>4</v>
      </c>
      <c r="F9" s="53"/>
      <c r="G9" s="53"/>
      <c r="H9" s="1"/>
      <c r="I9" s="1"/>
      <c r="J9" s="1"/>
      <c r="K9" s="1"/>
      <c r="L9" s="1"/>
      <c r="M9" s="1"/>
      <c r="N9" s="1"/>
      <c r="O9" s="1"/>
      <c r="P9" s="1"/>
      <c r="Q9" s="53" t="s">
        <v>69</v>
      </c>
      <c r="R9" s="53"/>
      <c r="S9" s="53"/>
      <c r="T9" s="52">
        <v>2</v>
      </c>
      <c r="U9" s="53"/>
      <c r="V9" s="53"/>
      <c r="W9" s="1"/>
      <c r="X9" s="1"/>
      <c r="Y9" s="1"/>
      <c r="Z9" s="1"/>
      <c r="AA9" s="1"/>
      <c r="AB9" s="1"/>
      <c r="AC9" s="1"/>
    </row>
    <row r="10" spans="1:29" ht="19.5" customHeight="1" thickBot="1">
      <c r="A10" s="1"/>
      <c r="B10" s="37"/>
      <c r="C10" s="53" t="s">
        <v>53</v>
      </c>
      <c r="D10" s="53"/>
      <c r="E10" s="52">
        <v>2.8</v>
      </c>
      <c r="F10" s="53"/>
      <c r="G10" s="53"/>
      <c r="H10" s="1"/>
      <c r="I10" s="1"/>
      <c r="J10" s="1"/>
      <c r="K10" s="1"/>
      <c r="L10" s="1"/>
      <c r="M10" s="1"/>
      <c r="N10" s="1"/>
      <c r="O10" s="1"/>
      <c r="P10" s="1"/>
      <c r="Q10" s="55" t="s">
        <v>70</v>
      </c>
      <c r="R10" s="55"/>
      <c r="S10" s="55"/>
      <c r="T10" s="54">
        <v>1</v>
      </c>
      <c r="U10" s="55"/>
      <c r="V10" s="55"/>
      <c r="W10" s="1"/>
      <c r="X10" s="1"/>
      <c r="Y10" s="1"/>
      <c r="Z10" s="1"/>
      <c r="AA10" s="1"/>
      <c r="AB10" s="1"/>
      <c r="AC10" s="1"/>
    </row>
    <row r="11" spans="1:29" ht="19.5" thickTop="1" thickBot="1">
      <c r="A11" s="1"/>
      <c r="B11" s="37"/>
      <c r="C11" s="53" t="s">
        <v>54</v>
      </c>
      <c r="D11" s="53"/>
      <c r="E11" s="52">
        <v>15</v>
      </c>
      <c r="F11" s="53"/>
      <c r="G11" s="53"/>
      <c r="H11" s="1"/>
      <c r="I11" s="1"/>
      <c r="J11" s="1"/>
      <c r="K11" s="14" t="s">
        <v>74</v>
      </c>
      <c r="L11" s="1"/>
      <c r="M11" s="1"/>
      <c r="N11" s="1"/>
      <c r="O11" s="1"/>
      <c r="P11" s="1"/>
      <c r="Q11" s="69" t="s">
        <v>79</v>
      </c>
      <c r="R11" s="70"/>
      <c r="S11" s="70"/>
      <c r="T11" s="71">
        <f>SUM(T7:V10)</f>
        <v>218</v>
      </c>
      <c r="U11" s="72"/>
      <c r="V11" s="72"/>
      <c r="W11" s="1"/>
      <c r="X11" s="1"/>
      <c r="Y11" s="1"/>
      <c r="Z11" s="1"/>
      <c r="AA11" s="1"/>
      <c r="AB11" s="1"/>
      <c r="AC11" s="1"/>
    </row>
    <row r="12" spans="1:29" ht="18" customHeight="1" thickBot="1">
      <c r="A12" s="1"/>
      <c r="B12" s="37"/>
      <c r="C12" s="53" t="s">
        <v>55</v>
      </c>
      <c r="D12" s="53"/>
      <c r="E12" s="52">
        <v>16</v>
      </c>
      <c r="F12" s="53"/>
      <c r="G12" s="53"/>
      <c r="H12" s="1"/>
      <c r="I12" s="1"/>
      <c r="J12" s="1"/>
      <c r="K12" s="42" t="s">
        <v>75</v>
      </c>
      <c r="L12" s="42"/>
      <c r="M12" s="42"/>
      <c r="N12" s="4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6.5" customHeight="1" thickBot="1">
      <c r="A13" s="1"/>
      <c r="B13" s="37"/>
      <c r="C13" s="53" t="s">
        <v>56</v>
      </c>
      <c r="D13" s="53"/>
      <c r="E13" s="52">
        <v>3</v>
      </c>
      <c r="F13" s="53"/>
      <c r="G13" s="53"/>
      <c r="H13" s="1"/>
      <c r="I13" s="1"/>
      <c r="J13" s="1"/>
      <c r="K13" s="14" t="s">
        <v>76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8" customHeight="1" thickBot="1">
      <c r="A14" s="1"/>
      <c r="B14" s="37"/>
      <c r="C14" s="53" t="s">
        <v>57</v>
      </c>
      <c r="D14" s="53"/>
      <c r="E14" s="52">
        <v>9</v>
      </c>
      <c r="F14" s="53"/>
      <c r="G14" s="53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22.5" customHeight="1" thickBot="1">
      <c r="A15" s="1"/>
      <c r="B15" s="37"/>
      <c r="C15" s="73" t="s">
        <v>58</v>
      </c>
      <c r="D15" s="73"/>
      <c r="E15" s="52">
        <v>2</v>
      </c>
      <c r="F15" s="53"/>
      <c r="G15" s="53"/>
      <c r="H15" s="3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6.5" thickBot="1">
      <c r="A16" s="1"/>
      <c r="B16" s="37"/>
      <c r="C16" s="55" t="s">
        <v>59</v>
      </c>
      <c r="D16" s="55"/>
      <c r="E16" s="54">
        <v>2</v>
      </c>
      <c r="F16" s="55"/>
      <c r="G16" s="5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9" customHeight="1" thickTop="1">
      <c r="A17" s="1"/>
      <c r="B17" s="1"/>
      <c r="C17" s="63" t="s">
        <v>79</v>
      </c>
      <c r="D17" s="64"/>
      <c r="E17" s="66">
        <f>SUM(E8:G16)</f>
        <v>55.8</v>
      </c>
      <c r="F17" s="67"/>
      <c r="G17" s="67"/>
      <c r="H17" s="35"/>
      <c r="I17" s="35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ht="16.5" thickBot="1">
      <c r="A18" s="1"/>
      <c r="B18" s="36"/>
      <c r="C18" s="65"/>
      <c r="D18" s="65"/>
      <c r="E18" s="68"/>
      <c r="F18" s="68"/>
      <c r="G18" s="68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ht="15.75" thickTop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21" thickBot="1">
      <c r="A21" s="1"/>
      <c r="B21" s="1"/>
      <c r="C21" s="1"/>
      <c r="D21" s="1"/>
      <c r="E21" s="1"/>
      <c r="F21" s="1"/>
      <c r="G21" s="1"/>
      <c r="H21" s="1"/>
      <c r="I21" s="1"/>
      <c r="J21" s="56" t="s">
        <v>71</v>
      </c>
      <c r="K21" s="56"/>
      <c r="L21" s="56"/>
      <c r="M21" s="56"/>
      <c r="N21" s="56"/>
      <c r="O21" s="56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21" customHeight="1" thickTop="1" thickBot="1">
      <c r="A22" s="1"/>
      <c r="B22" s="1"/>
      <c r="C22" s="1"/>
      <c r="D22" s="1"/>
      <c r="E22" s="1"/>
      <c r="F22" s="1"/>
      <c r="G22" s="1"/>
      <c r="H22" s="1"/>
      <c r="I22" s="1"/>
      <c r="J22" s="58" t="s">
        <v>62</v>
      </c>
      <c r="K22" s="58"/>
      <c r="L22" s="58"/>
      <c r="M22" s="59">
        <v>40</v>
      </c>
      <c r="N22" s="58"/>
      <c r="O22" s="58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9.5" customHeight="1" thickBot="1">
      <c r="A23" s="1"/>
      <c r="B23" s="1"/>
      <c r="C23" s="1"/>
      <c r="D23" s="1"/>
      <c r="E23" s="1"/>
      <c r="F23" s="1"/>
      <c r="G23" s="1"/>
      <c r="H23" s="1"/>
      <c r="I23" s="1"/>
      <c r="J23" s="53" t="s">
        <v>63</v>
      </c>
      <c r="K23" s="53"/>
      <c r="L23" s="53"/>
      <c r="M23" s="52">
        <v>20</v>
      </c>
      <c r="N23" s="53"/>
      <c r="O23" s="53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21" customHeight="1" thickBot="1">
      <c r="A24" s="1"/>
      <c r="B24" s="1"/>
      <c r="C24" s="1"/>
      <c r="D24" s="1"/>
      <c r="E24" s="1"/>
      <c r="F24" s="1"/>
      <c r="G24" s="1"/>
      <c r="H24" s="1"/>
      <c r="I24" s="1"/>
      <c r="J24" s="53" t="s">
        <v>64</v>
      </c>
      <c r="K24" s="53"/>
      <c r="L24" s="53"/>
      <c r="M24" s="52">
        <v>40</v>
      </c>
      <c r="N24" s="53"/>
      <c r="O24" s="53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7.25" customHeight="1" thickBot="1">
      <c r="A25" s="1"/>
      <c r="B25" s="1"/>
      <c r="C25" s="1"/>
      <c r="D25" s="1"/>
      <c r="E25" s="1"/>
      <c r="F25" s="1"/>
      <c r="G25" s="1"/>
      <c r="H25" s="1"/>
      <c r="I25" s="1"/>
      <c r="J25" s="55" t="s">
        <v>65</v>
      </c>
      <c r="K25" s="55"/>
      <c r="L25" s="55"/>
      <c r="M25" s="54">
        <v>25</v>
      </c>
      <c r="N25" s="55"/>
      <c r="O25" s="55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22.5" customHeight="1" thickTop="1" thickBot="1">
      <c r="A26" s="1"/>
      <c r="B26" s="1"/>
      <c r="C26" s="1"/>
      <c r="D26" s="1"/>
      <c r="E26" s="1"/>
      <c r="F26" s="1"/>
      <c r="G26" s="1"/>
      <c r="H26" s="1"/>
      <c r="I26" s="1"/>
      <c r="J26" s="72" t="s">
        <v>79</v>
      </c>
      <c r="K26" s="70"/>
      <c r="L26" s="70"/>
      <c r="M26" s="71">
        <f>SUM(M22:O25)</f>
        <v>125</v>
      </c>
      <c r="N26" s="72"/>
      <c r="O26" s="72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thickTop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</sheetData>
  <mergeCells count="46">
    <mergeCell ref="C17:D18"/>
    <mergeCell ref="E17:G18"/>
    <mergeCell ref="Q11:S11"/>
    <mergeCell ref="T11:V11"/>
    <mergeCell ref="J26:L26"/>
    <mergeCell ref="M26:O26"/>
    <mergeCell ref="C14:D14"/>
    <mergeCell ref="C15:D15"/>
    <mergeCell ref="C16:D16"/>
    <mergeCell ref="E9:G9"/>
    <mergeCell ref="E8:G8"/>
    <mergeCell ref="E7:G7"/>
    <mergeCell ref="J24:L24"/>
    <mergeCell ref="J25:L25"/>
    <mergeCell ref="E14:G14"/>
    <mergeCell ref="E15:G15"/>
    <mergeCell ref="E16:G16"/>
    <mergeCell ref="C6:G6"/>
    <mergeCell ref="C5:G5"/>
    <mergeCell ref="J21:O21"/>
    <mergeCell ref="J22:L22"/>
    <mergeCell ref="J23:L23"/>
    <mergeCell ref="C7:D7"/>
    <mergeCell ref="E13:G13"/>
    <mergeCell ref="E12:G12"/>
    <mergeCell ref="E11:G11"/>
    <mergeCell ref="E10:G10"/>
    <mergeCell ref="C8:D8"/>
    <mergeCell ref="C9:D9"/>
    <mergeCell ref="C10:D10"/>
    <mergeCell ref="C11:D11"/>
    <mergeCell ref="C12:D12"/>
    <mergeCell ref="C13:D13"/>
    <mergeCell ref="T9:V9"/>
    <mergeCell ref="T10:V10"/>
    <mergeCell ref="M24:O24"/>
    <mergeCell ref="M25:O25"/>
    <mergeCell ref="Q6:V6"/>
    <mergeCell ref="Q7:S7"/>
    <mergeCell ref="Q8:S8"/>
    <mergeCell ref="Q9:S9"/>
    <mergeCell ref="Q10:S10"/>
    <mergeCell ref="T7:V7"/>
    <mergeCell ref="T8:V8"/>
    <mergeCell ref="M22:O22"/>
    <mergeCell ref="M23:O2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F47EAC-7C2D-4CC9-8C8C-8071B58BF6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Início</vt:lpstr>
      <vt:lpstr>Clientes</vt:lpstr>
      <vt:lpstr>Formulário Clientes</vt:lpstr>
      <vt:lpstr>Agenda Compromissos</vt:lpstr>
      <vt:lpstr>Estoque</vt:lpstr>
      <vt:lpstr>Materiais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Manha</dc:creator>
  <cp:lastModifiedBy>Turma Manha</cp:lastModifiedBy>
  <dcterms:created xsi:type="dcterms:W3CDTF">2024-06-14T12:01:27Z</dcterms:created>
  <dcterms:modified xsi:type="dcterms:W3CDTF">2024-06-26T14:40:29Z</dcterms:modified>
</cp:coreProperties>
</file>